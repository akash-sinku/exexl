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BRPL-MIS\Downloads\"/>
    </mc:Choice>
  </mc:AlternateContent>
  <xr:revisionPtr revIDLastSave="0" documentId="13_ncr:1_{D5D2BA26-0B38-4EDB-9613-519BD7593376}" xr6:coauthVersionLast="47" xr6:coauthVersionMax="47" xr10:uidLastSave="{00000000-0000-0000-0000-000000000000}"/>
  <bookViews>
    <workbookView xWindow="6930" yWindow="3810" windowWidth="21600" windowHeight="11295" xr2:uid="{00000000-000D-0000-FFFF-FFFF00000000}"/>
  </bookViews>
  <sheets>
    <sheet name="Monthly" sheetId="1" r:id="rId1"/>
    <sheet name="Charts" sheetId="2" r:id="rId2"/>
  </sheets>
  <definedNames>
    <definedName name="NativeTimeline_Date">#N/A</definedName>
  </definedNames>
  <calcPr calcId="191028"/>
  <pivotCaches>
    <pivotCache cacheId="0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C4" i="2"/>
  <c r="D4" i="2"/>
  <c r="C5" i="2"/>
  <c r="D5" i="2"/>
  <c r="C6" i="2"/>
  <c r="D6" i="2"/>
  <c r="C7" i="2"/>
  <c r="D7" i="2"/>
  <c r="C8" i="2"/>
  <c r="D8" i="2"/>
  <c r="D2" i="2"/>
  <c r="C2" i="2"/>
  <c r="I2" i="2" l="1"/>
  <c r="I8" i="2"/>
  <c r="I7" i="2"/>
  <c r="I6" i="2"/>
  <c r="I5" i="2"/>
  <c r="I4" i="2"/>
  <c r="I3" i="2"/>
  <c r="H2" i="2"/>
  <c r="G2" i="2"/>
  <c r="F2" i="2"/>
  <c r="E2" i="2"/>
  <c r="H8" i="2"/>
  <c r="G8" i="2"/>
  <c r="F8" i="2"/>
  <c r="E8" i="2"/>
  <c r="H7" i="2"/>
  <c r="G7" i="2"/>
  <c r="F7" i="2"/>
  <c r="E7" i="2"/>
  <c r="H6" i="2"/>
  <c r="G6" i="2"/>
  <c r="F6" i="2"/>
  <c r="E6" i="2"/>
  <c r="H5" i="2"/>
  <c r="G5" i="2"/>
  <c r="F5" i="2"/>
  <c r="E5" i="2"/>
  <c r="H4" i="2"/>
  <c r="G4" i="2"/>
  <c r="F4" i="2"/>
  <c r="E4" i="2"/>
  <c r="H3" i="2"/>
  <c r="G3" i="2"/>
  <c r="F3" i="2"/>
  <c r="E3" i="2"/>
</calcChain>
</file>

<file path=xl/sharedStrings.xml><?xml version="1.0" encoding="utf-8"?>
<sst xmlns="http://schemas.openxmlformats.org/spreadsheetml/2006/main" count="58" uniqueCount="25">
  <si>
    <t>Months</t>
  </si>
  <si>
    <t>Drop Cloth</t>
  </si>
  <si>
    <t xml:space="preserve">Actual </t>
  </si>
  <si>
    <t>Traget</t>
  </si>
  <si>
    <t>Date</t>
  </si>
  <si>
    <t>BSR</t>
  </si>
  <si>
    <t>Ad Spends</t>
  </si>
  <si>
    <t>ACOS</t>
  </si>
  <si>
    <t>TACOS</t>
  </si>
  <si>
    <t>TACOS Target</t>
  </si>
  <si>
    <t>4' x 12'</t>
  </si>
  <si>
    <t>4' x 15'</t>
  </si>
  <si>
    <t>5' x 20'</t>
  </si>
  <si>
    <t>6' x 9'</t>
  </si>
  <si>
    <t>9' x 12'</t>
  </si>
  <si>
    <t>5' x 5'</t>
  </si>
  <si>
    <t>4' x 5'</t>
  </si>
  <si>
    <t>Min</t>
  </si>
  <si>
    <t>Max</t>
  </si>
  <si>
    <t xml:space="preserve">Positive Var </t>
  </si>
  <si>
    <t>Negative Var</t>
  </si>
  <si>
    <t>Var</t>
  </si>
  <si>
    <t>Sum of BSR</t>
  </si>
  <si>
    <t>Sum of Ad Spends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</si>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</sst>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\-yy;@"/>
    <numFmt numFmtId="165" formatCode="[$-409]d\-mmm;@"/>
    <numFmt numFmtId="166" formatCode="[$$-409]#,##0.00"/>
    <numFmt numFmtId="167" formatCode="[$-14009]dd\-mm\-yyyy;@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166" fontId="0" fillId="0" borderId="0" xfId="0" applyNumberFormat="1"/>
    <xf numFmtId="167" fontId="2" fillId="0" borderId="0" xfId="0" applyNumberFormat="1" applyFont="1" applyAlignment="1">
      <alignment horizontal="center" vertical="center"/>
    </xf>
    <xf numFmtId="167" fontId="0" fillId="0" borderId="0" xfId="0" applyNumberFormat="1"/>
  </cellXfs>
  <cellStyles count="1">
    <cellStyle name="Normal" xfId="0" builtinId="0"/>
  </cellStyles>
  <dxfs count="1">
    <dxf>
      <numFmt numFmtId="164" formatCode="[$-409]mmm\-yy;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vs Target Var. by size</a:t>
            </a:r>
          </a:p>
        </c:rich>
      </c:tx>
      <c:layout>
        <c:manualLayout>
          <c:xMode val="edge"/>
          <c:yMode val="edge"/>
          <c:x val="0.32956714858803171"/>
          <c:y val="3.37458993519979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Charts!$E$1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Charts!$B$2:$B$8</c:f>
              <c:strCache>
                <c:ptCount val="7"/>
                <c:pt idx="0">
                  <c:v>4' x 12'</c:v>
                </c:pt>
                <c:pt idx="1">
                  <c:v>4' x 15'</c:v>
                </c:pt>
                <c:pt idx="2">
                  <c:v>5' x 20'</c:v>
                </c:pt>
                <c:pt idx="3">
                  <c:v>6' x 9'</c:v>
                </c:pt>
                <c:pt idx="4">
                  <c:v>9' x 12'</c:v>
                </c:pt>
                <c:pt idx="5">
                  <c:v>5' x 5'</c:v>
                </c:pt>
                <c:pt idx="6">
                  <c:v>4' x 5'</c:v>
                </c:pt>
              </c:strCache>
            </c:strRef>
          </c:cat>
          <c:val>
            <c:numRef>
              <c:f>Charts!$E$2:$E$8</c:f>
              <c:numCache>
                <c:formatCode>General</c:formatCode>
                <c:ptCount val="7"/>
                <c:pt idx="0">
                  <c:v>375</c:v>
                </c:pt>
                <c:pt idx="1">
                  <c:v>150</c:v>
                </c:pt>
                <c:pt idx="2">
                  <c:v>103</c:v>
                </c:pt>
                <c:pt idx="3">
                  <c:v>102</c:v>
                </c:pt>
                <c:pt idx="4">
                  <c:v>260</c:v>
                </c:pt>
                <c:pt idx="5">
                  <c:v>547</c:v>
                </c:pt>
                <c:pt idx="6">
                  <c:v>1122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33-443C-A2F6-629D613CF7B3}"/>
            </c:ext>
          </c:extLst>
        </c:ser>
        <c:ser>
          <c:idx val="3"/>
          <c:order val="3"/>
          <c:tx>
            <c:strRef>
              <c:f>Charts!$G$1</c:f>
              <c:strCache>
                <c:ptCount val="1"/>
                <c:pt idx="0">
                  <c:v>Positive Var 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28575" cap="flat" cmpd="sng" algn="ctr">
                <a:solidFill>
                  <a:srgbClr val="00B050"/>
                </a:solidFill>
                <a:prstDash val="solid"/>
                <a:round/>
              </a:ln>
              <a:effectLst/>
            </c:spPr>
          </c:errBars>
          <c:cat>
            <c:strRef>
              <c:f>Charts!$B$2:$B$8</c:f>
              <c:strCache>
                <c:ptCount val="7"/>
                <c:pt idx="0">
                  <c:v>4' x 12'</c:v>
                </c:pt>
                <c:pt idx="1">
                  <c:v>4' x 15'</c:v>
                </c:pt>
                <c:pt idx="2">
                  <c:v>5' x 20'</c:v>
                </c:pt>
                <c:pt idx="3">
                  <c:v>6' x 9'</c:v>
                </c:pt>
                <c:pt idx="4">
                  <c:v>9' x 12'</c:v>
                </c:pt>
                <c:pt idx="5">
                  <c:v>5' x 5'</c:v>
                </c:pt>
                <c:pt idx="6">
                  <c:v>4' x 5'</c:v>
                </c:pt>
              </c:strCache>
            </c:strRef>
          </c:cat>
          <c:val>
            <c:numRef>
              <c:f>Charts!$G$2:$G$8</c:f>
              <c:numCache>
                <c:formatCode>General</c:formatCode>
                <c:ptCount val="7"/>
                <c:pt idx="0">
                  <c:v>455</c:v>
                </c:pt>
                <c:pt idx="1">
                  <c:v>113</c:v>
                </c:pt>
                <c:pt idx="2">
                  <c:v>72</c:v>
                </c:pt>
                <c:pt idx="3">
                  <c:v>354</c:v>
                </c:pt>
                <c:pt idx="4">
                  <c:v>497</c:v>
                </c:pt>
                <c:pt idx="5">
                  <c:v>#N/A</c:v>
                </c:pt>
                <c:pt idx="6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33-443C-A2F6-629D613CF7B3}"/>
            </c:ext>
          </c:extLst>
        </c:ser>
        <c:ser>
          <c:idx val="4"/>
          <c:order val="4"/>
          <c:tx>
            <c:strRef>
              <c:f>Charts!$H$1</c:f>
              <c:strCache>
                <c:ptCount val="1"/>
                <c:pt idx="0">
                  <c:v>Negative Var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28575" cap="flat" cmpd="sng" algn="ctr">
                <a:solidFill>
                  <a:srgbClr val="FF0000"/>
                </a:solidFill>
                <a:prstDash val="solid"/>
                <a:round/>
              </a:ln>
              <a:effectLst/>
            </c:spPr>
          </c:errBars>
          <c:cat>
            <c:strRef>
              <c:f>Charts!$B$2:$B$8</c:f>
              <c:strCache>
                <c:ptCount val="7"/>
                <c:pt idx="0">
                  <c:v>4' x 12'</c:v>
                </c:pt>
                <c:pt idx="1">
                  <c:v>4' x 15'</c:v>
                </c:pt>
                <c:pt idx="2">
                  <c:v>5' x 20'</c:v>
                </c:pt>
                <c:pt idx="3">
                  <c:v>6' x 9'</c:v>
                </c:pt>
                <c:pt idx="4">
                  <c:v>9' x 12'</c:v>
                </c:pt>
                <c:pt idx="5">
                  <c:v>5' x 5'</c:v>
                </c:pt>
                <c:pt idx="6">
                  <c:v>4' x 5'</c:v>
                </c:pt>
              </c:strCache>
            </c:strRef>
          </c:cat>
          <c:val>
            <c:numRef>
              <c:f>Charts!$H$2:$H$8</c:f>
              <c:numCache>
                <c:formatCode>General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203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133-443C-A2F6-629D613CF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8"/>
        <c:overlap val="100"/>
        <c:axId val="1036758024"/>
        <c:axId val="1036760072"/>
      </c:barChart>
      <c:barChart>
        <c:barDir val="col"/>
        <c:grouping val="clustered"/>
        <c:varyColors val="0"/>
        <c:ser>
          <c:idx val="1"/>
          <c:order val="0"/>
          <c:tx>
            <c:strRef>
              <c:f>Charts!$D$1</c:f>
              <c:strCache>
                <c:ptCount val="1"/>
                <c:pt idx="0">
                  <c:v>Traget</c:v>
                </c:pt>
              </c:strCache>
            </c:strRef>
          </c:tx>
          <c:spPr>
            <a:solidFill>
              <a:srgbClr val="215C9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DAE9F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Charts!$B$2:$B$8</c:f>
              <c:strCache>
                <c:ptCount val="7"/>
                <c:pt idx="0">
                  <c:v>4' x 12'</c:v>
                </c:pt>
                <c:pt idx="1">
                  <c:v>4' x 15'</c:v>
                </c:pt>
                <c:pt idx="2">
                  <c:v>5' x 20'</c:v>
                </c:pt>
                <c:pt idx="3">
                  <c:v>6' x 9'</c:v>
                </c:pt>
                <c:pt idx="4">
                  <c:v>9' x 12'</c:v>
                </c:pt>
                <c:pt idx="5">
                  <c:v>5' x 5'</c:v>
                </c:pt>
                <c:pt idx="6">
                  <c:v>4' x 5'</c:v>
                </c:pt>
              </c:strCache>
            </c:strRef>
          </c:cat>
          <c:val>
            <c:numRef>
              <c:f>Charts!$D$2:$D$8</c:f>
              <c:numCache>
                <c:formatCode>General</c:formatCode>
                <c:ptCount val="7"/>
                <c:pt idx="0">
                  <c:v>375</c:v>
                </c:pt>
                <c:pt idx="1">
                  <c:v>150</c:v>
                </c:pt>
                <c:pt idx="2">
                  <c:v>103</c:v>
                </c:pt>
                <c:pt idx="3">
                  <c:v>102</c:v>
                </c:pt>
                <c:pt idx="4">
                  <c:v>260</c:v>
                </c:pt>
                <c:pt idx="5">
                  <c:v>750</c:v>
                </c:pt>
                <c:pt idx="6">
                  <c:v>1122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33-443C-A2F6-629D613CF7B3}"/>
            </c:ext>
          </c:extLst>
        </c:ser>
        <c:ser>
          <c:idx val="0"/>
          <c:order val="1"/>
          <c:tx>
            <c:strRef>
              <c:f>Charts!$C$1</c:f>
              <c:strCache>
                <c:ptCount val="1"/>
                <c:pt idx="0">
                  <c:v>Actual 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DAE9F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Charts!$B$2:$B$8</c:f>
              <c:strCache>
                <c:ptCount val="7"/>
                <c:pt idx="0">
                  <c:v>4' x 12'</c:v>
                </c:pt>
                <c:pt idx="1">
                  <c:v>4' x 15'</c:v>
                </c:pt>
                <c:pt idx="2">
                  <c:v>5' x 20'</c:v>
                </c:pt>
                <c:pt idx="3">
                  <c:v>6' x 9'</c:v>
                </c:pt>
                <c:pt idx="4">
                  <c:v>9' x 12'</c:v>
                </c:pt>
                <c:pt idx="5">
                  <c:v>5' x 5'</c:v>
                </c:pt>
                <c:pt idx="6">
                  <c:v>4' x 5'</c:v>
                </c:pt>
              </c:strCache>
            </c:strRef>
          </c:cat>
          <c:val>
            <c:numRef>
              <c:f>Charts!$C$2:$C$8</c:f>
              <c:numCache>
                <c:formatCode>General</c:formatCode>
                <c:ptCount val="7"/>
                <c:pt idx="0">
                  <c:v>830</c:v>
                </c:pt>
                <c:pt idx="1">
                  <c:v>263</c:v>
                </c:pt>
                <c:pt idx="2">
                  <c:v>175</c:v>
                </c:pt>
                <c:pt idx="3">
                  <c:v>456</c:v>
                </c:pt>
                <c:pt idx="4">
                  <c:v>757</c:v>
                </c:pt>
                <c:pt idx="5">
                  <c:v>547</c:v>
                </c:pt>
                <c:pt idx="6">
                  <c:v>1264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3-443C-A2F6-629D613CF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1"/>
        <c:overlap val="-27"/>
        <c:axId val="834981383"/>
        <c:axId val="834978311"/>
      </c:barChart>
      <c:lineChart>
        <c:grouping val="standard"/>
        <c:varyColors val="0"/>
        <c:ser>
          <c:idx val="5"/>
          <c:order val="5"/>
          <c:tx>
            <c:strRef>
              <c:f>Charts!$I$1</c:f>
              <c:strCache>
                <c:ptCount val="1"/>
                <c:pt idx="0">
                  <c:v>Var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3901C495-6CD7-4E24-BB3F-B10F415D2D2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728F-4C72-958E-A13D9E77527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4048CFD-4CD4-4EC6-876A-919EF740489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28F-4C72-958E-A13D9E77527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808FD83-0867-4BA6-AA1E-B5A7ABA6CB3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28F-4C72-958E-A13D9E77527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1E9DD39-2AF2-491D-BEF7-FB59B61DCA2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28F-4C72-958E-A13D9E77527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9659ED0-9EEB-4026-A742-6EB8F735652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28F-4C72-958E-A13D9E77527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D3B82C6-1CA7-4FDB-9F31-6AE13033828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28F-4C72-958E-A13D9E77527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7D5DF9C-9C64-43B9-89E7-C55D8B53DF6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28F-4C72-958E-A13D9E7752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Charts!$B$2:$B$8</c:f>
              <c:strCache>
                <c:ptCount val="7"/>
                <c:pt idx="0">
                  <c:v>4' x 12'</c:v>
                </c:pt>
                <c:pt idx="1">
                  <c:v>4' x 15'</c:v>
                </c:pt>
                <c:pt idx="2">
                  <c:v>5' x 20'</c:v>
                </c:pt>
                <c:pt idx="3">
                  <c:v>6' x 9'</c:v>
                </c:pt>
                <c:pt idx="4">
                  <c:v>9' x 12'</c:v>
                </c:pt>
                <c:pt idx="5">
                  <c:v>5' x 5'</c:v>
                </c:pt>
                <c:pt idx="6">
                  <c:v>4' x 5'</c:v>
                </c:pt>
              </c:strCache>
            </c:strRef>
          </c:cat>
          <c:val>
            <c:numRef>
              <c:f>Charts!$F$2:$F$8</c:f>
              <c:numCache>
                <c:formatCode>General</c:formatCode>
                <c:ptCount val="7"/>
                <c:pt idx="0">
                  <c:v>830</c:v>
                </c:pt>
                <c:pt idx="1">
                  <c:v>263</c:v>
                </c:pt>
                <c:pt idx="2">
                  <c:v>175</c:v>
                </c:pt>
                <c:pt idx="3">
                  <c:v>456</c:v>
                </c:pt>
                <c:pt idx="4">
                  <c:v>757</c:v>
                </c:pt>
                <c:pt idx="5">
                  <c:v>750</c:v>
                </c:pt>
                <c:pt idx="6">
                  <c:v>1264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Charts!$I$2:$I$8</c15:f>
                <c15:dlblRangeCache>
                  <c:ptCount val="7"/>
                  <c:pt idx="0">
                    <c:v>455</c:v>
                  </c:pt>
                  <c:pt idx="1">
                    <c:v>113</c:v>
                  </c:pt>
                  <c:pt idx="2">
                    <c:v>72</c:v>
                  </c:pt>
                  <c:pt idx="3">
                    <c:v>354</c:v>
                  </c:pt>
                  <c:pt idx="4">
                    <c:v>497</c:v>
                  </c:pt>
                  <c:pt idx="5">
                    <c:v>-203</c:v>
                  </c:pt>
                  <c:pt idx="6">
                    <c:v>142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4E5B-4A1F-95D9-5F2D82EC7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981383"/>
        <c:axId val="834978311"/>
      </c:lineChart>
      <c:catAx>
        <c:axId val="1036758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760072"/>
        <c:crosses val="autoZero"/>
        <c:auto val="1"/>
        <c:lblAlgn val="ctr"/>
        <c:lblOffset val="100"/>
        <c:noMultiLvlLbl val="0"/>
      </c:catAx>
      <c:valAx>
        <c:axId val="1036760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758024"/>
        <c:crosses val="autoZero"/>
        <c:crossBetween val="between"/>
      </c:valAx>
      <c:valAx>
        <c:axId val="83497831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981383"/>
        <c:crosses val="max"/>
        <c:crossBetween val="between"/>
      </c:valAx>
      <c:catAx>
        <c:axId val="8349813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349783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[DB1.xlsx]Charts!PivotTable1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BSR vs Ads Spends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Charts!$B$21</c:f>
              <c:strCache>
                <c:ptCount val="1"/>
                <c:pt idx="0">
                  <c:v>Sum of BSR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Charts!$A$22:$A$114</c:f>
              <c:strCache>
                <c:ptCount val="92"/>
                <c:pt idx="0">
                  <c:v>01-06-2025</c:v>
                </c:pt>
                <c:pt idx="1">
                  <c:v>02-06-2025</c:v>
                </c:pt>
                <c:pt idx="2">
                  <c:v>03-06-2025</c:v>
                </c:pt>
                <c:pt idx="3">
                  <c:v>04-06-2025</c:v>
                </c:pt>
                <c:pt idx="4">
                  <c:v>05-06-2025</c:v>
                </c:pt>
                <c:pt idx="5">
                  <c:v>06-06-2025</c:v>
                </c:pt>
                <c:pt idx="6">
                  <c:v>07-06-2025</c:v>
                </c:pt>
                <c:pt idx="7">
                  <c:v>08-06-2025</c:v>
                </c:pt>
                <c:pt idx="8">
                  <c:v>09-06-2025</c:v>
                </c:pt>
                <c:pt idx="9">
                  <c:v>10-06-2025</c:v>
                </c:pt>
                <c:pt idx="10">
                  <c:v>11-06-2025</c:v>
                </c:pt>
                <c:pt idx="11">
                  <c:v>12-06-2025</c:v>
                </c:pt>
                <c:pt idx="12">
                  <c:v>13-06-2025</c:v>
                </c:pt>
                <c:pt idx="13">
                  <c:v>14-06-2025</c:v>
                </c:pt>
                <c:pt idx="14">
                  <c:v>15-06-2025</c:v>
                </c:pt>
                <c:pt idx="15">
                  <c:v>16-06-2025</c:v>
                </c:pt>
                <c:pt idx="16">
                  <c:v>17-06-2025</c:v>
                </c:pt>
                <c:pt idx="17">
                  <c:v>18-06-2025</c:v>
                </c:pt>
                <c:pt idx="18">
                  <c:v>19-06-2025</c:v>
                </c:pt>
                <c:pt idx="19">
                  <c:v>20-06-2025</c:v>
                </c:pt>
                <c:pt idx="20">
                  <c:v>21-06-2025</c:v>
                </c:pt>
                <c:pt idx="21">
                  <c:v>22-06-2025</c:v>
                </c:pt>
                <c:pt idx="22">
                  <c:v>23-06-2025</c:v>
                </c:pt>
                <c:pt idx="23">
                  <c:v>24-06-2025</c:v>
                </c:pt>
                <c:pt idx="24">
                  <c:v>25-06-2025</c:v>
                </c:pt>
                <c:pt idx="25">
                  <c:v>26-06-2025</c:v>
                </c:pt>
                <c:pt idx="26">
                  <c:v>27-06-2025</c:v>
                </c:pt>
                <c:pt idx="27">
                  <c:v>28-06-2025</c:v>
                </c:pt>
                <c:pt idx="28">
                  <c:v>29-06-2025</c:v>
                </c:pt>
                <c:pt idx="29">
                  <c:v>30-06-2025</c:v>
                </c:pt>
                <c:pt idx="30">
                  <c:v>01-07-2025</c:v>
                </c:pt>
                <c:pt idx="31">
                  <c:v>02-07-2025</c:v>
                </c:pt>
                <c:pt idx="32">
                  <c:v>03-07-2025</c:v>
                </c:pt>
                <c:pt idx="33">
                  <c:v>04-07-2025</c:v>
                </c:pt>
                <c:pt idx="34">
                  <c:v>05-07-2025</c:v>
                </c:pt>
                <c:pt idx="35">
                  <c:v>06-07-2025</c:v>
                </c:pt>
                <c:pt idx="36">
                  <c:v>07-07-2025</c:v>
                </c:pt>
                <c:pt idx="37">
                  <c:v>08-07-2025</c:v>
                </c:pt>
                <c:pt idx="38">
                  <c:v>09-07-2025</c:v>
                </c:pt>
                <c:pt idx="39">
                  <c:v>10-07-2025</c:v>
                </c:pt>
                <c:pt idx="40">
                  <c:v>11-07-2025</c:v>
                </c:pt>
                <c:pt idx="41">
                  <c:v>12-07-2025</c:v>
                </c:pt>
                <c:pt idx="42">
                  <c:v>13-07-2025</c:v>
                </c:pt>
                <c:pt idx="43">
                  <c:v>14-07-2025</c:v>
                </c:pt>
                <c:pt idx="44">
                  <c:v>15-07-2025</c:v>
                </c:pt>
                <c:pt idx="45">
                  <c:v>16-07-2025</c:v>
                </c:pt>
                <c:pt idx="46">
                  <c:v>17-07-2025</c:v>
                </c:pt>
                <c:pt idx="47">
                  <c:v>18-07-2025</c:v>
                </c:pt>
                <c:pt idx="48">
                  <c:v>19-07-2025</c:v>
                </c:pt>
                <c:pt idx="49">
                  <c:v>20-07-2025</c:v>
                </c:pt>
                <c:pt idx="50">
                  <c:v>21-07-2025</c:v>
                </c:pt>
                <c:pt idx="51">
                  <c:v>22-07-2025</c:v>
                </c:pt>
                <c:pt idx="52">
                  <c:v>23-07-2025</c:v>
                </c:pt>
                <c:pt idx="53">
                  <c:v>24-07-2025</c:v>
                </c:pt>
                <c:pt idx="54">
                  <c:v>25-07-2025</c:v>
                </c:pt>
                <c:pt idx="55">
                  <c:v>26-07-2025</c:v>
                </c:pt>
                <c:pt idx="56">
                  <c:v>27-07-2025</c:v>
                </c:pt>
                <c:pt idx="57">
                  <c:v>28-07-2025</c:v>
                </c:pt>
                <c:pt idx="58">
                  <c:v>29-07-2025</c:v>
                </c:pt>
                <c:pt idx="59">
                  <c:v>30-07-2025</c:v>
                </c:pt>
                <c:pt idx="60">
                  <c:v>31-07-2025</c:v>
                </c:pt>
                <c:pt idx="61">
                  <c:v>01-08-2025</c:v>
                </c:pt>
                <c:pt idx="62">
                  <c:v>02-08-2025</c:v>
                </c:pt>
                <c:pt idx="63">
                  <c:v>03-08-2025</c:v>
                </c:pt>
                <c:pt idx="64">
                  <c:v>04-08-2025</c:v>
                </c:pt>
                <c:pt idx="65">
                  <c:v>05-08-2025</c:v>
                </c:pt>
                <c:pt idx="66">
                  <c:v>06-08-2025</c:v>
                </c:pt>
                <c:pt idx="67">
                  <c:v>07-08-2025</c:v>
                </c:pt>
                <c:pt idx="68">
                  <c:v>08-08-2025</c:v>
                </c:pt>
                <c:pt idx="69">
                  <c:v>09-08-2025</c:v>
                </c:pt>
                <c:pt idx="70">
                  <c:v>10-08-2025</c:v>
                </c:pt>
                <c:pt idx="71">
                  <c:v>11-08-2025</c:v>
                </c:pt>
                <c:pt idx="72">
                  <c:v>12-08-2025</c:v>
                </c:pt>
                <c:pt idx="73">
                  <c:v>13-08-2025</c:v>
                </c:pt>
                <c:pt idx="74">
                  <c:v>14-08-2025</c:v>
                </c:pt>
                <c:pt idx="75">
                  <c:v>15-08-2025</c:v>
                </c:pt>
                <c:pt idx="76">
                  <c:v>16-08-2025</c:v>
                </c:pt>
                <c:pt idx="77">
                  <c:v>17-08-2025</c:v>
                </c:pt>
                <c:pt idx="78">
                  <c:v>18-08-2025</c:v>
                </c:pt>
                <c:pt idx="79">
                  <c:v>19-08-2025</c:v>
                </c:pt>
                <c:pt idx="80">
                  <c:v>20-08-2025</c:v>
                </c:pt>
                <c:pt idx="81">
                  <c:v>21-08-2025</c:v>
                </c:pt>
                <c:pt idx="82">
                  <c:v>22-08-2025</c:v>
                </c:pt>
                <c:pt idx="83">
                  <c:v>23-08-2025</c:v>
                </c:pt>
                <c:pt idx="84">
                  <c:v>24-08-2025</c:v>
                </c:pt>
                <c:pt idx="85">
                  <c:v>25-08-2025</c:v>
                </c:pt>
                <c:pt idx="86">
                  <c:v>26-08-2025</c:v>
                </c:pt>
                <c:pt idx="87">
                  <c:v>27-08-2025</c:v>
                </c:pt>
                <c:pt idx="88">
                  <c:v>28-08-2025</c:v>
                </c:pt>
                <c:pt idx="89">
                  <c:v>29-08-2025</c:v>
                </c:pt>
                <c:pt idx="90">
                  <c:v>30-08-2025</c:v>
                </c:pt>
                <c:pt idx="91">
                  <c:v>31-08-2025</c:v>
                </c:pt>
              </c:strCache>
            </c:strRef>
          </c:cat>
          <c:val>
            <c:numRef>
              <c:f>Charts!$B$22:$B$114</c:f>
              <c:numCache>
                <c:formatCode>General</c:formatCode>
                <c:ptCount val="92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4</c:v>
                </c:pt>
                <c:pt idx="21">
                  <c:v>4</c:v>
                </c:pt>
                <c:pt idx="22">
                  <c:v>5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6</c:v>
                </c:pt>
                <c:pt idx="40">
                  <c:v>6</c:v>
                </c:pt>
                <c:pt idx="41">
                  <c:v>5</c:v>
                </c:pt>
                <c:pt idx="42">
                  <c:v>5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5</c:v>
                </c:pt>
                <c:pt idx="66">
                  <c:v>6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C-46EA-88BD-B719561B2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490247"/>
        <c:axId val="148492295"/>
      </c:barChart>
      <c:lineChart>
        <c:grouping val="standard"/>
        <c:varyColors val="0"/>
        <c:ser>
          <c:idx val="1"/>
          <c:order val="1"/>
          <c:tx>
            <c:strRef>
              <c:f>Charts!$C$21</c:f>
              <c:strCache>
                <c:ptCount val="1"/>
                <c:pt idx="0">
                  <c:v>Sum of Ad Spends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Charts!$A$22:$A$114</c:f>
              <c:strCache>
                <c:ptCount val="92"/>
                <c:pt idx="0">
                  <c:v>01-06-2025</c:v>
                </c:pt>
                <c:pt idx="1">
                  <c:v>02-06-2025</c:v>
                </c:pt>
                <c:pt idx="2">
                  <c:v>03-06-2025</c:v>
                </c:pt>
                <c:pt idx="3">
                  <c:v>04-06-2025</c:v>
                </c:pt>
                <c:pt idx="4">
                  <c:v>05-06-2025</c:v>
                </c:pt>
                <c:pt idx="5">
                  <c:v>06-06-2025</c:v>
                </c:pt>
                <c:pt idx="6">
                  <c:v>07-06-2025</c:v>
                </c:pt>
                <c:pt idx="7">
                  <c:v>08-06-2025</c:v>
                </c:pt>
                <c:pt idx="8">
                  <c:v>09-06-2025</c:v>
                </c:pt>
                <c:pt idx="9">
                  <c:v>10-06-2025</c:v>
                </c:pt>
                <c:pt idx="10">
                  <c:v>11-06-2025</c:v>
                </c:pt>
                <c:pt idx="11">
                  <c:v>12-06-2025</c:v>
                </c:pt>
                <c:pt idx="12">
                  <c:v>13-06-2025</c:v>
                </c:pt>
                <c:pt idx="13">
                  <c:v>14-06-2025</c:v>
                </c:pt>
                <c:pt idx="14">
                  <c:v>15-06-2025</c:v>
                </c:pt>
                <c:pt idx="15">
                  <c:v>16-06-2025</c:v>
                </c:pt>
                <c:pt idx="16">
                  <c:v>17-06-2025</c:v>
                </c:pt>
                <c:pt idx="17">
                  <c:v>18-06-2025</c:v>
                </c:pt>
                <c:pt idx="18">
                  <c:v>19-06-2025</c:v>
                </c:pt>
                <c:pt idx="19">
                  <c:v>20-06-2025</c:v>
                </c:pt>
                <c:pt idx="20">
                  <c:v>21-06-2025</c:v>
                </c:pt>
                <c:pt idx="21">
                  <c:v>22-06-2025</c:v>
                </c:pt>
                <c:pt idx="22">
                  <c:v>23-06-2025</c:v>
                </c:pt>
                <c:pt idx="23">
                  <c:v>24-06-2025</c:v>
                </c:pt>
                <c:pt idx="24">
                  <c:v>25-06-2025</c:v>
                </c:pt>
                <c:pt idx="25">
                  <c:v>26-06-2025</c:v>
                </c:pt>
                <c:pt idx="26">
                  <c:v>27-06-2025</c:v>
                </c:pt>
                <c:pt idx="27">
                  <c:v>28-06-2025</c:v>
                </c:pt>
                <c:pt idx="28">
                  <c:v>29-06-2025</c:v>
                </c:pt>
                <c:pt idx="29">
                  <c:v>30-06-2025</c:v>
                </c:pt>
                <c:pt idx="30">
                  <c:v>01-07-2025</c:v>
                </c:pt>
                <c:pt idx="31">
                  <c:v>02-07-2025</c:v>
                </c:pt>
                <c:pt idx="32">
                  <c:v>03-07-2025</c:v>
                </c:pt>
                <c:pt idx="33">
                  <c:v>04-07-2025</c:v>
                </c:pt>
                <c:pt idx="34">
                  <c:v>05-07-2025</c:v>
                </c:pt>
                <c:pt idx="35">
                  <c:v>06-07-2025</c:v>
                </c:pt>
                <c:pt idx="36">
                  <c:v>07-07-2025</c:v>
                </c:pt>
                <c:pt idx="37">
                  <c:v>08-07-2025</c:v>
                </c:pt>
                <c:pt idx="38">
                  <c:v>09-07-2025</c:v>
                </c:pt>
                <c:pt idx="39">
                  <c:v>10-07-2025</c:v>
                </c:pt>
                <c:pt idx="40">
                  <c:v>11-07-2025</c:v>
                </c:pt>
                <c:pt idx="41">
                  <c:v>12-07-2025</c:v>
                </c:pt>
                <c:pt idx="42">
                  <c:v>13-07-2025</c:v>
                </c:pt>
                <c:pt idx="43">
                  <c:v>14-07-2025</c:v>
                </c:pt>
                <c:pt idx="44">
                  <c:v>15-07-2025</c:v>
                </c:pt>
                <c:pt idx="45">
                  <c:v>16-07-2025</c:v>
                </c:pt>
                <c:pt idx="46">
                  <c:v>17-07-2025</c:v>
                </c:pt>
                <c:pt idx="47">
                  <c:v>18-07-2025</c:v>
                </c:pt>
                <c:pt idx="48">
                  <c:v>19-07-2025</c:v>
                </c:pt>
                <c:pt idx="49">
                  <c:v>20-07-2025</c:v>
                </c:pt>
                <c:pt idx="50">
                  <c:v>21-07-2025</c:v>
                </c:pt>
                <c:pt idx="51">
                  <c:v>22-07-2025</c:v>
                </c:pt>
                <c:pt idx="52">
                  <c:v>23-07-2025</c:v>
                </c:pt>
                <c:pt idx="53">
                  <c:v>24-07-2025</c:v>
                </c:pt>
                <c:pt idx="54">
                  <c:v>25-07-2025</c:v>
                </c:pt>
                <c:pt idx="55">
                  <c:v>26-07-2025</c:v>
                </c:pt>
                <c:pt idx="56">
                  <c:v>27-07-2025</c:v>
                </c:pt>
                <c:pt idx="57">
                  <c:v>28-07-2025</c:v>
                </c:pt>
                <c:pt idx="58">
                  <c:v>29-07-2025</c:v>
                </c:pt>
                <c:pt idx="59">
                  <c:v>30-07-2025</c:v>
                </c:pt>
                <c:pt idx="60">
                  <c:v>31-07-2025</c:v>
                </c:pt>
                <c:pt idx="61">
                  <c:v>01-08-2025</c:v>
                </c:pt>
                <c:pt idx="62">
                  <c:v>02-08-2025</c:v>
                </c:pt>
                <c:pt idx="63">
                  <c:v>03-08-2025</c:v>
                </c:pt>
                <c:pt idx="64">
                  <c:v>04-08-2025</c:v>
                </c:pt>
                <c:pt idx="65">
                  <c:v>05-08-2025</c:v>
                </c:pt>
                <c:pt idx="66">
                  <c:v>06-08-2025</c:v>
                </c:pt>
                <c:pt idx="67">
                  <c:v>07-08-2025</c:v>
                </c:pt>
                <c:pt idx="68">
                  <c:v>08-08-2025</c:v>
                </c:pt>
                <c:pt idx="69">
                  <c:v>09-08-2025</c:v>
                </c:pt>
                <c:pt idx="70">
                  <c:v>10-08-2025</c:v>
                </c:pt>
                <c:pt idx="71">
                  <c:v>11-08-2025</c:v>
                </c:pt>
                <c:pt idx="72">
                  <c:v>12-08-2025</c:v>
                </c:pt>
                <c:pt idx="73">
                  <c:v>13-08-2025</c:v>
                </c:pt>
                <c:pt idx="74">
                  <c:v>14-08-2025</c:v>
                </c:pt>
                <c:pt idx="75">
                  <c:v>15-08-2025</c:v>
                </c:pt>
                <c:pt idx="76">
                  <c:v>16-08-2025</c:v>
                </c:pt>
                <c:pt idx="77">
                  <c:v>17-08-2025</c:v>
                </c:pt>
                <c:pt idx="78">
                  <c:v>18-08-2025</c:v>
                </c:pt>
                <c:pt idx="79">
                  <c:v>19-08-2025</c:v>
                </c:pt>
                <c:pt idx="80">
                  <c:v>20-08-2025</c:v>
                </c:pt>
                <c:pt idx="81">
                  <c:v>21-08-2025</c:v>
                </c:pt>
                <c:pt idx="82">
                  <c:v>22-08-2025</c:v>
                </c:pt>
                <c:pt idx="83">
                  <c:v>23-08-2025</c:v>
                </c:pt>
                <c:pt idx="84">
                  <c:v>24-08-2025</c:v>
                </c:pt>
                <c:pt idx="85">
                  <c:v>25-08-2025</c:v>
                </c:pt>
                <c:pt idx="86">
                  <c:v>26-08-2025</c:v>
                </c:pt>
                <c:pt idx="87">
                  <c:v>27-08-2025</c:v>
                </c:pt>
                <c:pt idx="88">
                  <c:v>28-08-2025</c:v>
                </c:pt>
                <c:pt idx="89">
                  <c:v>29-08-2025</c:v>
                </c:pt>
                <c:pt idx="90">
                  <c:v>30-08-2025</c:v>
                </c:pt>
                <c:pt idx="91">
                  <c:v>31-08-2025</c:v>
                </c:pt>
              </c:strCache>
            </c:strRef>
          </c:cat>
          <c:val>
            <c:numRef>
              <c:f>Charts!$C$22:$C$114</c:f>
              <c:numCache>
                <c:formatCode>[$$-409]#,##0.00</c:formatCode>
                <c:ptCount val="92"/>
                <c:pt idx="0">
                  <c:v>392.33</c:v>
                </c:pt>
                <c:pt idx="1">
                  <c:v>298</c:v>
                </c:pt>
                <c:pt idx="2">
                  <c:v>325.89</c:v>
                </c:pt>
                <c:pt idx="3">
                  <c:v>321.06</c:v>
                </c:pt>
                <c:pt idx="4">
                  <c:v>363.38</c:v>
                </c:pt>
                <c:pt idx="5">
                  <c:v>329.93</c:v>
                </c:pt>
                <c:pt idx="6">
                  <c:v>362.37</c:v>
                </c:pt>
                <c:pt idx="7">
                  <c:v>400.43</c:v>
                </c:pt>
                <c:pt idx="8">
                  <c:v>141.69</c:v>
                </c:pt>
                <c:pt idx="9">
                  <c:v>400.62</c:v>
                </c:pt>
                <c:pt idx="10">
                  <c:v>447.03</c:v>
                </c:pt>
                <c:pt idx="11">
                  <c:v>458.2</c:v>
                </c:pt>
                <c:pt idx="12">
                  <c:v>385.51</c:v>
                </c:pt>
                <c:pt idx="13">
                  <c:v>420.17</c:v>
                </c:pt>
                <c:pt idx="14">
                  <c:v>423.44</c:v>
                </c:pt>
                <c:pt idx="15">
                  <c:v>457.39</c:v>
                </c:pt>
                <c:pt idx="16">
                  <c:v>395.42</c:v>
                </c:pt>
                <c:pt idx="17">
                  <c:v>479.58</c:v>
                </c:pt>
                <c:pt idx="18">
                  <c:v>470.09</c:v>
                </c:pt>
                <c:pt idx="19">
                  <c:v>419.57</c:v>
                </c:pt>
                <c:pt idx="20">
                  <c:v>445.51</c:v>
                </c:pt>
                <c:pt idx="21">
                  <c:v>477.1</c:v>
                </c:pt>
                <c:pt idx="22">
                  <c:v>412.1</c:v>
                </c:pt>
                <c:pt idx="23">
                  <c:v>571.29999999999995</c:v>
                </c:pt>
                <c:pt idx="24">
                  <c:v>512.24</c:v>
                </c:pt>
                <c:pt idx="25">
                  <c:v>565.23</c:v>
                </c:pt>
                <c:pt idx="26">
                  <c:v>636.04999999999995</c:v>
                </c:pt>
                <c:pt idx="27">
                  <c:v>587.15</c:v>
                </c:pt>
                <c:pt idx="28">
                  <c:v>582.02</c:v>
                </c:pt>
                <c:pt idx="29">
                  <c:v>445.66</c:v>
                </c:pt>
                <c:pt idx="30">
                  <c:v>560.03</c:v>
                </c:pt>
                <c:pt idx="31">
                  <c:v>644.54</c:v>
                </c:pt>
                <c:pt idx="32">
                  <c:v>591.34</c:v>
                </c:pt>
                <c:pt idx="33">
                  <c:v>548.92999999999995</c:v>
                </c:pt>
                <c:pt idx="34">
                  <c:v>711.96</c:v>
                </c:pt>
                <c:pt idx="35">
                  <c:v>847.54</c:v>
                </c:pt>
                <c:pt idx="36">
                  <c:v>807.81</c:v>
                </c:pt>
                <c:pt idx="37">
                  <c:v>1176.46</c:v>
                </c:pt>
                <c:pt idx="38">
                  <c:v>867.44</c:v>
                </c:pt>
                <c:pt idx="39">
                  <c:v>814.33</c:v>
                </c:pt>
                <c:pt idx="40">
                  <c:v>832.75</c:v>
                </c:pt>
                <c:pt idx="41">
                  <c:v>731.8</c:v>
                </c:pt>
                <c:pt idx="42">
                  <c:v>827.04</c:v>
                </c:pt>
                <c:pt idx="43">
                  <c:v>754.98</c:v>
                </c:pt>
                <c:pt idx="44">
                  <c:v>703.62</c:v>
                </c:pt>
                <c:pt idx="45">
                  <c:v>800.93</c:v>
                </c:pt>
                <c:pt idx="46">
                  <c:v>650.54</c:v>
                </c:pt>
                <c:pt idx="47">
                  <c:v>642.91999999999996</c:v>
                </c:pt>
                <c:pt idx="48">
                  <c:v>506.53</c:v>
                </c:pt>
                <c:pt idx="49">
                  <c:v>614.95000000000005</c:v>
                </c:pt>
                <c:pt idx="50">
                  <c:v>504.36</c:v>
                </c:pt>
                <c:pt idx="51">
                  <c:v>509.06</c:v>
                </c:pt>
                <c:pt idx="52">
                  <c:v>416.95</c:v>
                </c:pt>
                <c:pt idx="53">
                  <c:v>412.13</c:v>
                </c:pt>
                <c:pt idx="54">
                  <c:v>364.58</c:v>
                </c:pt>
                <c:pt idx="55">
                  <c:v>367.78</c:v>
                </c:pt>
                <c:pt idx="56">
                  <c:v>425.9</c:v>
                </c:pt>
                <c:pt idx="57">
                  <c:v>452.63</c:v>
                </c:pt>
                <c:pt idx="58">
                  <c:v>426.18</c:v>
                </c:pt>
                <c:pt idx="59">
                  <c:v>409.69</c:v>
                </c:pt>
                <c:pt idx="60">
                  <c:v>387.15</c:v>
                </c:pt>
                <c:pt idx="61">
                  <c:v>485.13</c:v>
                </c:pt>
                <c:pt idx="62">
                  <c:v>505.18</c:v>
                </c:pt>
                <c:pt idx="63">
                  <c:v>614.16</c:v>
                </c:pt>
                <c:pt idx="64">
                  <c:v>644.67999999999995</c:v>
                </c:pt>
                <c:pt idx="65">
                  <c:v>590.14</c:v>
                </c:pt>
                <c:pt idx="66">
                  <c:v>592.35</c:v>
                </c:pt>
                <c:pt idx="67">
                  <c:v>571.29999999999995</c:v>
                </c:pt>
                <c:pt idx="68">
                  <c:v>512.24</c:v>
                </c:pt>
                <c:pt idx="69">
                  <c:v>565.23</c:v>
                </c:pt>
                <c:pt idx="70">
                  <c:v>636.04999999999995</c:v>
                </c:pt>
                <c:pt idx="71">
                  <c:v>587.15</c:v>
                </c:pt>
                <c:pt idx="72">
                  <c:v>582.02</c:v>
                </c:pt>
                <c:pt idx="73">
                  <c:v>610.96</c:v>
                </c:pt>
                <c:pt idx="74">
                  <c:v>651.58000000000004</c:v>
                </c:pt>
                <c:pt idx="75">
                  <c:v>614.98</c:v>
                </c:pt>
                <c:pt idx="76">
                  <c:v>627.88</c:v>
                </c:pt>
                <c:pt idx="77">
                  <c:v>231.8</c:v>
                </c:pt>
                <c:pt idx="78">
                  <c:v>521.98</c:v>
                </c:pt>
                <c:pt idx="79">
                  <c:v>543.15</c:v>
                </c:pt>
                <c:pt idx="80">
                  <c:v>512.24</c:v>
                </c:pt>
                <c:pt idx="81">
                  <c:v>565.23</c:v>
                </c:pt>
                <c:pt idx="82">
                  <c:v>636.04999999999995</c:v>
                </c:pt>
                <c:pt idx="83">
                  <c:v>587.15</c:v>
                </c:pt>
                <c:pt idx="84">
                  <c:v>334.34</c:v>
                </c:pt>
                <c:pt idx="85">
                  <c:v>420.35</c:v>
                </c:pt>
                <c:pt idx="86">
                  <c:v>395.62</c:v>
                </c:pt>
                <c:pt idx="87">
                  <c:v>543.72</c:v>
                </c:pt>
                <c:pt idx="88">
                  <c:v>535.54</c:v>
                </c:pt>
                <c:pt idx="89">
                  <c:v>434.89</c:v>
                </c:pt>
                <c:pt idx="90">
                  <c:v>319.89</c:v>
                </c:pt>
                <c:pt idx="91">
                  <c:v>452.34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0C-46EA-88BD-B719561B2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370311"/>
        <c:axId val="510363143"/>
      </c:lineChart>
      <c:catAx>
        <c:axId val="148490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92295"/>
        <c:crosses val="autoZero"/>
        <c:auto val="1"/>
        <c:lblAlgn val="ctr"/>
        <c:lblOffset val="100"/>
        <c:noMultiLvlLbl val="0"/>
      </c:catAx>
      <c:valAx>
        <c:axId val="148492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90247"/>
        <c:crosses val="autoZero"/>
        <c:crossBetween val="between"/>
      </c:valAx>
      <c:valAx>
        <c:axId val="510363143"/>
        <c:scaling>
          <c:orientation val="minMax"/>
        </c:scaling>
        <c:delete val="0"/>
        <c:axPos val="r"/>
        <c:numFmt formatCode="[$$-4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370311"/>
        <c:crosses val="max"/>
        <c:crossBetween val="between"/>
      </c:valAx>
      <c:catAx>
        <c:axId val="510370311"/>
        <c:scaling>
          <c:orientation val="minMax"/>
        </c:scaling>
        <c:delete val="1"/>
        <c:axPos val="b"/>
        <c:numFmt formatCode="General" sourceLinked="1"/>
        <c:majorTickMark val="cross"/>
        <c:minorTickMark val="none"/>
        <c:tickLblPos val="nextTo"/>
        <c:crossAx val="5103631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0</xdr:row>
      <xdr:rowOff>0</xdr:rowOff>
    </xdr:from>
    <xdr:to>
      <xdr:col>20</xdr:col>
      <xdr:colOff>285750</xdr:colOff>
      <xdr:row>15</xdr:row>
      <xdr:rowOff>133350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677A2F2C-953C-D03E-E5B5-87DF58D19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180975</xdr:colOff>
      <xdr:row>20</xdr:row>
      <xdr:rowOff>28575</xdr:rowOff>
    </xdr:from>
    <xdr:to>
      <xdr:col>7</xdr:col>
      <xdr:colOff>619125</xdr:colOff>
      <xdr:row>27</xdr:row>
      <xdr:rowOff>66675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">
              <a:extLst>
                <a:ext uri="{FF2B5EF4-FFF2-40B4-BE49-F238E27FC236}">
                  <a16:creationId xmlns:a16="http://schemas.microsoft.com/office/drawing/2014/main" id="{05D65428-6D4A-7168-2A05-96399AD818C6}"/>
                </a:ext>
                <a:ext uri="{147F2762-F138-4A5C-976F-8EAC2B608ADB}">
                  <a16:predDERef xmlns:a16="http://schemas.microsoft.com/office/drawing/2014/main" pred="{677A2F2C-953C-D03E-E5B5-87DF58D193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71775" y="383857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8</xdr:col>
      <xdr:colOff>428625</xdr:colOff>
      <xdr:row>18</xdr:row>
      <xdr:rowOff>104775</xdr:rowOff>
    </xdr:from>
    <xdr:to>
      <xdr:col>20</xdr:col>
      <xdr:colOff>47625</xdr:colOff>
      <xdr:row>37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3525AE-6C6B-DC68-A9B0-96C7A8524459}"/>
            </a:ext>
            <a:ext uri="{147F2762-F138-4A5C-976F-8EAC2B608ADB}">
              <a16:predDERef xmlns:a16="http://schemas.microsoft.com/office/drawing/2014/main" pred="{05D65428-6D4A-7168-2A05-96399AD81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1.886053703704" createdVersion="8" refreshedVersion="8" minRefreshableVersion="3" recordCount="92" xr:uid="{2DFA4AEE-2054-4448-B263-DDCEC819A2B1}">
  <cacheSource type="worksheet">
    <worksheetSource ref="H1:M93" sheet="Monthly"/>
  </cacheSource>
  <cacheFields count="6">
    <cacheField name="Date" numFmtId="167">
      <sharedItems containsSemiMixedTypes="0" containsNonDate="0" containsDate="1" containsString="0" minDate="2025-06-01T00:00:00" maxDate="2025-09-01T00:00:00" count="92"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</sharedItems>
    </cacheField>
    <cacheField name="BSR" numFmtId="0">
      <sharedItems containsSemiMixedTypes="0" containsString="0" containsNumber="1" containsInteger="1" minValue="3" maxValue="7"/>
    </cacheField>
    <cacheField name="Ad Spends" numFmtId="166">
      <sharedItems containsSemiMixedTypes="0" containsString="0" containsNumber="1" minValue="141.69" maxValue="1176.46"/>
    </cacheField>
    <cacheField name="ACOS" numFmtId="0">
      <sharedItems containsSemiMixedTypes="0" containsString="0" containsNumber="1" minValue="15.88" maxValue="53.92"/>
    </cacheField>
    <cacheField name="TACOS" numFmtId="0">
      <sharedItems containsSemiMixedTypes="0" containsString="0" containsNumber="1" minValue="9.5" maxValue="46.51"/>
    </cacheField>
    <cacheField name="TACOS Target" numFmtId="0">
      <sharedItems containsSemiMixedTypes="0" containsString="0" containsNumber="1" containsInteger="1" minValue="12" maxValue="12"/>
    </cacheField>
  </cacheFields>
  <extLst>
    <ext xmlns:x14="http://schemas.microsoft.com/office/spreadsheetml/2009/9/main" uri="{725AE2AE-9491-48be-B2B4-4EB974FC3084}">
      <x14:pivotCacheDefinition pivotCacheId="9004516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x v="0"/>
    <n v="6"/>
    <n v="485.13"/>
    <n v="29.12"/>
    <n v="18.7"/>
    <n v="12"/>
  </r>
  <r>
    <x v="1"/>
    <n v="6"/>
    <n v="505.18"/>
    <n v="32.47"/>
    <n v="29.52"/>
    <n v="12"/>
  </r>
  <r>
    <x v="2"/>
    <n v="6"/>
    <n v="614.16"/>
    <n v="35.56"/>
    <n v="27.64"/>
    <n v="12"/>
  </r>
  <r>
    <x v="3"/>
    <n v="6"/>
    <n v="644.67999999999995"/>
    <n v="24.17"/>
    <n v="16.739999999999998"/>
    <n v="12"/>
  </r>
  <r>
    <x v="4"/>
    <n v="5"/>
    <n v="590.14"/>
    <n v="31.77"/>
    <n v="22.39"/>
    <n v="12"/>
  </r>
  <r>
    <x v="5"/>
    <n v="6"/>
    <n v="592.35"/>
    <n v="33.869999999999997"/>
    <n v="25.94"/>
    <n v="12"/>
  </r>
  <r>
    <x v="6"/>
    <n v="5"/>
    <n v="571.29999999999995"/>
    <n v="34.33"/>
    <n v="22.9"/>
    <n v="12"/>
  </r>
  <r>
    <x v="7"/>
    <n v="5"/>
    <n v="512.24"/>
    <n v="28.97"/>
    <n v="19.920000000000002"/>
    <n v="12"/>
  </r>
  <r>
    <x v="8"/>
    <n v="5"/>
    <n v="565.23"/>
    <n v="27.63"/>
    <n v="22.99"/>
    <n v="12"/>
  </r>
  <r>
    <x v="9"/>
    <n v="3"/>
    <n v="636.04999999999995"/>
    <n v="24.14"/>
    <n v="18.79"/>
    <n v="12"/>
  </r>
  <r>
    <x v="10"/>
    <n v="3"/>
    <n v="587.15"/>
    <n v="27.58"/>
    <n v="19.8"/>
    <n v="12"/>
  </r>
  <r>
    <x v="11"/>
    <n v="3"/>
    <n v="582.02"/>
    <n v="28.78"/>
    <n v="15.51"/>
    <n v="12"/>
  </r>
  <r>
    <x v="12"/>
    <n v="3"/>
    <n v="610.96"/>
    <n v="25.85"/>
    <n v="17.29"/>
    <n v="12"/>
  </r>
  <r>
    <x v="13"/>
    <n v="3"/>
    <n v="651.58000000000004"/>
    <n v="25.89"/>
    <n v="18.48"/>
    <n v="12"/>
  </r>
  <r>
    <x v="14"/>
    <n v="3"/>
    <n v="614.98"/>
    <n v="28.84"/>
    <n v="20.96"/>
    <n v="12"/>
  </r>
  <r>
    <x v="15"/>
    <n v="3"/>
    <n v="627.88"/>
    <n v="22.45"/>
    <n v="15.68"/>
    <n v="12"/>
  </r>
  <r>
    <x v="16"/>
    <n v="3"/>
    <n v="231.8"/>
    <n v="26.67"/>
    <n v="9.5"/>
    <n v="12"/>
  </r>
  <r>
    <x v="17"/>
    <n v="3"/>
    <n v="521.98"/>
    <n v="26.62"/>
    <n v="15.97"/>
    <n v="12"/>
  </r>
  <r>
    <x v="18"/>
    <n v="3"/>
    <n v="543.15"/>
    <n v="19.809999999999999"/>
    <n v="12.23"/>
    <n v="12"/>
  </r>
  <r>
    <x v="19"/>
    <n v="3"/>
    <n v="512.24"/>
    <n v="23.38"/>
    <n v="15.49"/>
    <n v="12"/>
  </r>
  <r>
    <x v="20"/>
    <n v="3"/>
    <n v="565.23"/>
    <n v="19.84"/>
    <n v="15.36"/>
    <n v="12"/>
  </r>
  <r>
    <x v="21"/>
    <n v="3"/>
    <n v="636.04999999999995"/>
    <n v="23.59"/>
    <n v="14.84"/>
    <n v="12"/>
  </r>
  <r>
    <x v="22"/>
    <n v="3"/>
    <n v="587.15"/>
    <n v="24.86"/>
    <n v="15.04"/>
    <n v="12"/>
  </r>
  <r>
    <x v="23"/>
    <n v="3"/>
    <n v="334.34"/>
    <n v="26.91"/>
    <n v="15.61"/>
    <n v="12"/>
  </r>
  <r>
    <x v="24"/>
    <n v="3"/>
    <n v="420.35"/>
    <n v="20.57"/>
    <n v="14.22"/>
    <n v="12"/>
  </r>
  <r>
    <x v="25"/>
    <n v="3"/>
    <n v="395.62"/>
    <n v="22.92"/>
    <n v="16.45"/>
    <n v="12"/>
  </r>
  <r>
    <x v="26"/>
    <n v="3"/>
    <n v="543.72"/>
    <n v="27.99"/>
    <n v="19.59"/>
    <n v="12"/>
  </r>
  <r>
    <x v="27"/>
    <n v="3"/>
    <n v="535.54"/>
    <n v="35.26"/>
    <n v="20.85"/>
    <n v="12"/>
  </r>
  <r>
    <x v="28"/>
    <n v="3"/>
    <n v="434.89"/>
    <n v="26.11"/>
    <n v="16.78"/>
    <n v="12"/>
  </r>
  <r>
    <x v="29"/>
    <n v="3"/>
    <n v="319.89"/>
    <n v="28.46"/>
    <n v="13.33"/>
    <n v="12"/>
  </r>
  <r>
    <x v="30"/>
    <n v="3"/>
    <n v="452.34"/>
    <n v="39.869999999999997"/>
    <n v="21.04"/>
    <n v="12"/>
  </r>
  <r>
    <x v="31"/>
    <n v="5"/>
    <n v="560.03"/>
    <n v="33.92"/>
    <n v="19.79"/>
    <n v="12"/>
  </r>
  <r>
    <x v="32"/>
    <n v="5"/>
    <n v="644.54"/>
    <n v="25.04"/>
    <n v="19.97"/>
    <n v="12"/>
  </r>
  <r>
    <x v="33"/>
    <n v="5"/>
    <n v="591.34"/>
    <n v="31.44"/>
    <n v="20.22"/>
    <n v="12"/>
  </r>
  <r>
    <x v="34"/>
    <n v="5"/>
    <n v="548.92999999999995"/>
    <n v="28.42"/>
    <n v="21.52"/>
    <n v="12"/>
  </r>
  <r>
    <x v="35"/>
    <n v="5"/>
    <n v="711.96"/>
    <n v="34.5"/>
    <n v="27.52"/>
    <n v="12"/>
  </r>
  <r>
    <x v="36"/>
    <n v="4"/>
    <n v="847.54"/>
    <n v="29.66"/>
    <n v="26.83"/>
    <n v="12"/>
  </r>
  <r>
    <x v="37"/>
    <n v="4"/>
    <n v="807.81"/>
    <n v="35.33"/>
    <n v="25.9"/>
    <n v="12"/>
  </r>
  <r>
    <x v="38"/>
    <n v="4"/>
    <n v="1176.46"/>
    <n v="41.04"/>
    <n v="28.73"/>
    <n v="12"/>
  </r>
  <r>
    <x v="39"/>
    <n v="4"/>
    <n v="867.44"/>
    <n v="51.99"/>
    <n v="26.84"/>
    <n v="12"/>
  </r>
  <r>
    <x v="40"/>
    <n v="6"/>
    <n v="814.33"/>
    <n v="49.86"/>
    <n v="31.46"/>
    <n v="12"/>
  </r>
  <r>
    <x v="41"/>
    <n v="6"/>
    <n v="832.75"/>
    <n v="41.37"/>
    <n v="28.85"/>
    <n v="12"/>
  </r>
  <r>
    <x v="42"/>
    <n v="5"/>
    <n v="731.8"/>
    <n v="48.29"/>
    <n v="37.76"/>
    <n v="12"/>
  </r>
  <r>
    <x v="43"/>
    <n v="5"/>
    <n v="827.04"/>
    <n v="51.05"/>
    <n v="29.41"/>
    <n v="12"/>
  </r>
  <r>
    <x v="44"/>
    <n v="6"/>
    <n v="754.98"/>
    <n v="28.08"/>
    <n v="27.29"/>
    <n v="12"/>
  </r>
  <r>
    <x v="45"/>
    <n v="6"/>
    <n v="703.62"/>
    <n v="45.58"/>
    <n v="25.76"/>
    <n v="12"/>
  </r>
  <r>
    <x v="46"/>
    <n v="6"/>
    <n v="800.93"/>
    <n v="53.92"/>
    <n v="37.71"/>
    <n v="12"/>
  </r>
  <r>
    <x v="47"/>
    <n v="6"/>
    <n v="650.54"/>
    <n v="43.61"/>
    <n v="28.6"/>
    <n v="12"/>
  </r>
  <r>
    <x v="48"/>
    <n v="6"/>
    <n v="642.91999999999996"/>
    <n v="42.37"/>
    <n v="27.17"/>
    <n v="12"/>
  </r>
  <r>
    <x v="49"/>
    <n v="6"/>
    <n v="506.53"/>
    <n v="28.13"/>
    <n v="19.71"/>
    <n v="12"/>
  </r>
  <r>
    <x v="50"/>
    <n v="6"/>
    <n v="614.95000000000005"/>
    <n v="42.51"/>
    <n v="31.7"/>
    <n v="12"/>
  </r>
  <r>
    <x v="51"/>
    <n v="6"/>
    <n v="504.36"/>
    <n v="47.28"/>
    <n v="26.47"/>
    <n v="12"/>
  </r>
  <r>
    <x v="52"/>
    <n v="6"/>
    <n v="509.06"/>
    <n v="38.299999999999997"/>
    <n v="23.89"/>
    <n v="12"/>
  </r>
  <r>
    <x v="53"/>
    <n v="6"/>
    <n v="416.95"/>
    <n v="36.130000000000003"/>
    <n v="30.16"/>
    <n v="12"/>
  </r>
  <r>
    <x v="54"/>
    <n v="6"/>
    <n v="412.13"/>
    <n v="26.63"/>
    <n v="25.32"/>
    <n v="12"/>
  </r>
  <r>
    <x v="55"/>
    <n v="6"/>
    <n v="364.58"/>
    <n v="31.28"/>
    <n v="21.32"/>
    <n v="12"/>
  </r>
  <r>
    <x v="56"/>
    <n v="6"/>
    <n v="367.78"/>
    <n v="37.369999999999997"/>
    <n v="21.95"/>
    <n v="12"/>
  </r>
  <r>
    <x v="57"/>
    <n v="6"/>
    <n v="425.9"/>
    <n v="29.4"/>
    <n v="22.31"/>
    <n v="12"/>
  </r>
  <r>
    <x v="58"/>
    <n v="6"/>
    <n v="452.63"/>
    <n v="26.74"/>
    <n v="17.78"/>
    <n v="12"/>
  </r>
  <r>
    <x v="59"/>
    <n v="6"/>
    <n v="426.18"/>
    <n v="26.89"/>
    <n v="19.170000000000002"/>
    <n v="12"/>
  </r>
  <r>
    <x v="60"/>
    <n v="6"/>
    <n v="409.69"/>
    <n v="37.42"/>
    <n v="23.92"/>
    <n v="12"/>
  </r>
  <r>
    <x v="61"/>
    <n v="6"/>
    <n v="387.15"/>
    <n v="34.96"/>
    <n v="20.43"/>
    <n v="12"/>
  </r>
  <r>
    <x v="62"/>
    <n v="7"/>
    <n v="392.33"/>
    <n v="20.56"/>
    <n v="11.78"/>
    <n v="12"/>
  </r>
  <r>
    <x v="63"/>
    <n v="7"/>
    <n v="298"/>
    <n v="25.81"/>
    <n v="11.23"/>
    <n v="12"/>
  </r>
  <r>
    <x v="64"/>
    <n v="7"/>
    <n v="325.89"/>
    <n v="19.440000000000001"/>
    <n v="11.53"/>
    <n v="12"/>
  </r>
  <r>
    <x v="65"/>
    <n v="6"/>
    <n v="321.06"/>
    <n v="15.88"/>
    <n v="10.77"/>
    <n v="12"/>
  </r>
  <r>
    <x v="66"/>
    <n v="6"/>
    <n v="363.38"/>
    <n v="19.809999999999999"/>
    <n v="14.87"/>
    <n v="12"/>
  </r>
  <r>
    <x v="67"/>
    <n v="6"/>
    <n v="329.93"/>
    <n v="20.97"/>
    <n v="14.92"/>
    <n v="12"/>
  </r>
  <r>
    <x v="68"/>
    <n v="6"/>
    <n v="362.37"/>
    <n v="20.59"/>
    <n v="13"/>
    <n v="12"/>
  </r>
  <r>
    <x v="69"/>
    <n v="6"/>
    <n v="400.43"/>
    <n v="27.32"/>
    <n v="14.01"/>
    <n v="12"/>
  </r>
  <r>
    <x v="70"/>
    <n v="6"/>
    <n v="141.69"/>
    <n v="21.98"/>
    <n v="12.13"/>
    <n v="12"/>
  </r>
  <r>
    <x v="71"/>
    <n v="6"/>
    <n v="400.62"/>
    <n v="32.770000000000003"/>
    <n v="13.17"/>
    <n v="12"/>
  </r>
  <r>
    <x v="72"/>
    <n v="4"/>
    <n v="447.03"/>
    <n v="24.15"/>
    <n v="16.89"/>
    <n v="12"/>
  </r>
  <r>
    <x v="73"/>
    <n v="5"/>
    <n v="458.2"/>
    <n v="30.65"/>
    <n v="24.77"/>
    <n v="12"/>
  </r>
  <r>
    <x v="74"/>
    <n v="5"/>
    <n v="385.51"/>
    <n v="25.34"/>
    <n v="17.02"/>
    <n v="12"/>
  </r>
  <r>
    <x v="75"/>
    <n v="5"/>
    <n v="420.17"/>
    <n v="25.35"/>
    <n v="22.21"/>
    <n v="12"/>
  </r>
  <r>
    <x v="76"/>
    <n v="5"/>
    <n v="423.44"/>
    <n v="33.99"/>
    <n v="25.28"/>
    <n v="12"/>
  </r>
  <r>
    <x v="77"/>
    <n v="5"/>
    <n v="457.39"/>
    <n v="21.16"/>
    <n v="17.45"/>
    <n v="12"/>
  </r>
  <r>
    <x v="78"/>
    <n v="5"/>
    <n v="395.42"/>
    <n v="21.47"/>
    <n v="16.52"/>
    <n v="12"/>
  </r>
  <r>
    <x v="79"/>
    <n v="5"/>
    <n v="479.58"/>
    <n v="26.58"/>
    <n v="20.76"/>
    <n v="12"/>
  </r>
  <r>
    <x v="80"/>
    <n v="5"/>
    <n v="470.09"/>
    <n v="25.46"/>
    <n v="20.79"/>
    <n v="12"/>
  </r>
  <r>
    <x v="81"/>
    <n v="5"/>
    <n v="419.57"/>
    <n v="25.48"/>
    <n v="14.71"/>
    <n v="12"/>
  </r>
  <r>
    <x v="82"/>
    <n v="4"/>
    <n v="445.51"/>
    <n v="36.06"/>
    <n v="27.16"/>
    <n v="12"/>
  </r>
  <r>
    <x v="83"/>
    <n v="4"/>
    <n v="477.1"/>
    <n v="22.61"/>
    <n v="16.29"/>
    <n v="12"/>
  </r>
  <r>
    <x v="84"/>
    <n v="5"/>
    <n v="412.1"/>
    <n v="35.4"/>
    <n v="25.47"/>
    <n v="12"/>
  </r>
  <r>
    <x v="85"/>
    <n v="4"/>
    <n v="571.29999999999995"/>
    <n v="52.6"/>
    <n v="45.03"/>
    <n v="12"/>
  </r>
  <r>
    <x v="86"/>
    <n v="4"/>
    <n v="512.24"/>
    <n v="23.1"/>
    <n v="19.940000000000001"/>
    <n v="12"/>
  </r>
  <r>
    <x v="87"/>
    <n v="4"/>
    <n v="565.23"/>
    <n v="32.18"/>
    <n v="26.45"/>
    <n v="12"/>
  </r>
  <r>
    <x v="88"/>
    <n v="4"/>
    <n v="636.04999999999995"/>
    <n v="35.76"/>
    <n v="29.92"/>
    <n v="12"/>
  </r>
  <r>
    <x v="89"/>
    <n v="5"/>
    <n v="587.15"/>
    <n v="44.17"/>
    <n v="46.51"/>
    <n v="12"/>
  </r>
  <r>
    <x v="90"/>
    <n v="5"/>
    <n v="582.02"/>
    <n v="47.87"/>
    <n v="29.25"/>
    <n v="12"/>
  </r>
  <r>
    <x v="91"/>
    <n v="5"/>
    <n v="445.66"/>
    <n v="53.57"/>
    <n v="33.090000000000003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72E0B-77E8-4940-A816-476CE5C75948}" name="PivotTable1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 chartFormat="2">
  <location ref="A21:C114" firstHeaderRow="0" firstDataRow="1" firstDataCol="1"/>
  <pivotFields count="6">
    <pivotField axis="axisRow" compact="0" numFmtId="167" outline="0" showAll="0">
      <items count="93"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dataField="1" compact="0" outline="0" showAll="0"/>
    <pivotField dataField="1" compact="0" numFmtId="166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SR" fld="1" baseField="0" baseItem="0"/>
    <dataField name="Sum of Ad Spends" fld="2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292482-EA6C-4018-B65B-41A56717BB81}" name="Table1" displayName="Table1" ref="A1:D29" totalsRowShown="0">
  <autoFilter ref="A1:D29" xr:uid="{20292482-EA6C-4018-B65B-41A56717BB81}"/>
  <tableColumns count="4">
    <tableColumn id="1" xr3:uid="{78BC37D8-D079-4FE9-A857-7D5E01235272}" name="Months" dataDxfId="0"/>
    <tableColumn id="2" xr3:uid="{B0D0A07E-FA28-4074-A770-BB8FB4F03A6C}" name="Drop Cloth"/>
    <tableColumn id="3" xr3:uid="{B8868C8B-9796-43C5-9DF7-6E38A013EAB8}" name="Actual "/>
    <tableColumn id="4" xr3:uid="{4942ABC5-4A2D-4E40-B4D2-D2C32687AE11}" name="Trage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8E77D87D-7DCC-4BDB-B7C7-A1E9435EFFA7}" sourceName="Date">
  <pivotTables>
    <pivotTable tabId="2" name="PivotTable1"/>
  </pivotTables>
  <state minimalRefreshVersion="6" lastRefreshVersion="6" pivotCacheId="900451629" filterType="unknown"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84775FCE-1D07-4489-A132-F45D27B43227}" cache="NativeTimeline_Date" caption="Date" level="2" selectionLevel="2" scrollPosition="2025-05-20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4"/>
  <sheetViews>
    <sheetView tabSelected="1" topLeftCell="A88" workbookViewId="0">
      <selection activeCell="H95" sqref="H95"/>
    </sheetView>
  </sheetViews>
  <sheetFormatPr defaultRowHeight="15" x14ac:dyDescent="0.25"/>
  <cols>
    <col min="1" max="1" width="9.7109375" bestFit="1" customWidth="1"/>
    <col min="2" max="2" width="12.7109375" bestFit="1" customWidth="1"/>
    <col min="3" max="3" width="9.28515625" bestFit="1" customWidth="1"/>
    <col min="4" max="4" width="8.7109375" bestFit="1" customWidth="1"/>
    <col min="8" max="8" width="10.140625" bestFit="1" customWidth="1"/>
    <col min="10" max="10" width="11" bestFit="1" customWidth="1"/>
    <col min="13" max="13" width="11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8" t="s">
        <v>9</v>
      </c>
    </row>
    <row r="2" spans="1:13" ht="15.75" x14ac:dyDescent="0.25">
      <c r="A2" s="1">
        <v>45778</v>
      </c>
      <c r="B2" t="s">
        <v>10</v>
      </c>
      <c r="C2">
        <v>662</v>
      </c>
      <c r="D2" s="2">
        <v>861</v>
      </c>
      <c r="F2" s="2"/>
      <c r="H2" s="16">
        <v>45870</v>
      </c>
      <c r="I2" s="10">
        <v>6</v>
      </c>
      <c r="J2" s="11">
        <v>485.13</v>
      </c>
      <c r="K2" s="8">
        <v>29.12</v>
      </c>
      <c r="L2" s="8">
        <v>18.7</v>
      </c>
      <c r="M2" s="8">
        <v>12</v>
      </c>
    </row>
    <row r="3" spans="1:13" ht="15.75" x14ac:dyDescent="0.25">
      <c r="A3" s="1">
        <v>45778</v>
      </c>
      <c r="B3" t="s">
        <v>11</v>
      </c>
      <c r="C3">
        <v>33</v>
      </c>
      <c r="D3" s="2">
        <v>171</v>
      </c>
      <c r="F3" s="2"/>
      <c r="H3" s="16">
        <v>45871</v>
      </c>
      <c r="I3" s="10">
        <v>6</v>
      </c>
      <c r="J3" s="11">
        <v>505.18</v>
      </c>
      <c r="K3" s="8">
        <v>32.47</v>
      </c>
      <c r="L3" s="8">
        <v>29.52</v>
      </c>
      <c r="M3" s="8">
        <v>12</v>
      </c>
    </row>
    <row r="4" spans="1:13" ht="15.75" x14ac:dyDescent="0.25">
      <c r="A4" s="1">
        <v>45778</v>
      </c>
      <c r="B4" t="s">
        <v>12</v>
      </c>
      <c r="C4">
        <v>34</v>
      </c>
      <c r="D4" s="2">
        <v>152</v>
      </c>
      <c r="F4" s="2"/>
      <c r="H4" s="16">
        <v>45872</v>
      </c>
      <c r="I4" s="10">
        <v>6</v>
      </c>
      <c r="J4" s="11">
        <v>614.16</v>
      </c>
      <c r="K4" s="8">
        <v>35.56</v>
      </c>
      <c r="L4" s="8">
        <v>27.64</v>
      </c>
      <c r="M4" s="8">
        <v>12</v>
      </c>
    </row>
    <row r="5" spans="1:13" ht="15.75" x14ac:dyDescent="0.25">
      <c r="A5" s="1">
        <v>45778</v>
      </c>
      <c r="B5" t="s">
        <v>13</v>
      </c>
      <c r="C5">
        <v>196</v>
      </c>
      <c r="D5" s="2">
        <v>555</v>
      </c>
      <c r="F5" s="2"/>
      <c r="H5" s="16">
        <v>45873</v>
      </c>
      <c r="I5" s="10">
        <v>6</v>
      </c>
      <c r="J5" s="11">
        <v>644.67999999999995</v>
      </c>
      <c r="K5" s="8">
        <v>24.17</v>
      </c>
      <c r="L5" s="8">
        <v>16.739999999999998</v>
      </c>
      <c r="M5" s="8">
        <v>12</v>
      </c>
    </row>
    <row r="6" spans="1:13" ht="15.75" x14ac:dyDescent="0.25">
      <c r="A6" s="1">
        <v>45778</v>
      </c>
      <c r="B6" t="s">
        <v>14</v>
      </c>
      <c r="C6">
        <v>185</v>
      </c>
      <c r="D6" s="2">
        <v>475</v>
      </c>
      <c r="F6" s="2"/>
      <c r="H6" s="16">
        <v>45874</v>
      </c>
      <c r="I6" s="10">
        <v>5</v>
      </c>
      <c r="J6" s="11">
        <v>590.14</v>
      </c>
      <c r="K6" s="8">
        <v>31.77</v>
      </c>
      <c r="L6" s="8">
        <v>22.39</v>
      </c>
      <c r="M6" s="8">
        <v>12</v>
      </c>
    </row>
    <row r="7" spans="1:13" ht="15.75" x14ac:dyDescent="0.25">
      <c r="A7" s="1">
        <v>45778</v>
      </c>
      <c r="B7" t="s">
        <v>15</v>
      </c>
      <c r="C7">
        <v>212</v>
      </c>
      <c r="D7" s="2">
        <v>592</v>
      </c>
      <c r="F7" s="2"/>
      <c r="H7" s="16">
        <v>45875</v>
      </c>
      <c r="I7" s="10">
        <v>6</v>
      </c>
      <c r="J7" s="11">
        <v>592.35</v>
      </c>
      <c r="K7" s="8">
        <v>33.869999999999997</v>
      </c>
      <c r="L7" s="8">
        <v>25.94</v>
      </c>
      <c r="M7" s="8">
        <v>12</v>
      </c>
    </row>
    <row r="8" spans="1:13" ht="15.75" x14ac:dyDescent="0.25">
      <c r="A8" s="1">
        <v>45778</v>
      </c>
      <c r="B8" t="s">
        <v>16</v>
      </c>
      <c r="C8">
        <v>1510</v>
      </c>
      <c r="D8" s="2">
        <v>2638</v>
      </c>
      <c r="F8" s="2"/>
      <c r="H8" s="16">
        <v>45876</v>
      </c>
      <c r="I8" s="10">
        <v>5</v>
      </c>
      <c r="J8" s="11">
        <v>571.29999999999995</v>
      </c>
      <c r="K8" s="8">
        <v>34.33</v>
      </c>
      <c r="L8" s="8">
        <v>22.9</v>
      </c>
      <c r="M8" s="8">
        <v>12</v>
      </c>
    </row>
    <row r="9" spans="1:13" ht="15.75" x14ac:dyDescent="0.25">
      <c r="A9" s="1">
        <v>45809</v>
      </c>
      <c r="B9" t="s">
        <v>10</v>
      </c>
      <c r="C9">
        <v>768</v>
      </c>
      <c r="D9">
        <v>696</v>
      </c>
      <c r="H9" s="16">
        <v>45877</v>
      </c>
      <c r="I9" s="10">
        <v>5</v>
      </c>
      <c r="J9" s="11">
        <v>512.24</v>
      </c>
      <c r="K9" s="8">
        <v>28.97</v>
      </c>
      <c r="L9" s="8">
        <v>19.920000000000002</v>
      </c>
      <c r="M9" s="8">
        <v>12</v>
      </c>
    </row>
    <row r="10" spans="1:13" ht="15.75" x14ac:dyDescent="0.25">
      <c r="A10" s="1">
        <v>45809</v>
      </c>
      <c r="B10" t="s">
        <v>11</v>
      </c>
      <c r="C10">
        <v>212</v>
      </c>
      <c r="D10">
        <v>256</v>
      </c>
      <c r="H10" s="16">
        <v>45878</v>
      </c>
      <c r="I10" s="10">
        <v>5</v>
      </c>
      <c r="J10" s="11">
        <v>565.23</v>
      </c>
      <c r="K10" s="8">
        <v>27.63</v>
      </c>
      <c r="L10" s="8">
        <v>22.99</v>
      </c>
      <c r="M10" s="8">
        <v>12</v>
      </c>
    </row>
    <row r="11" spans="1:13" ht="15.75" x14ac:dyDescent="0.25">
      <c r="A11" s="1">
        <v>45809</v>
      </c>
      <c r="B11" t="s">
        <v>12</v>
      </c>
      <c r="C11">
        <v>250</v>
      </c>
      <c r="D11">
        <v>241</v>
      </c>
      <c r="H11" s="16">
        <v>45879</v>
      </c>
      <c r="I11" s="10">
        <v>3</v>
      </c>
      <c r="J11" s="11">
        <v>636.04999999999995</v>
      </c>
      <c r="K11" s="8">
        <v>24.14</v>
      </c>
      <c r="L11" s="8">
        <v>18.79</v>
      </c>
      <c r="M11" s="8">
        <v>12</v>
      </c>
    </row>
    <row r="12" spans="1:13" ht="15.75" x14ac:dyDescent="0.25">
      <c r="A12" s="1">
        <v>45809</v>
      </c>
      <c r="B12" t="s">
        <v>13</v>
      </c>
      <c r="C12">
        <v>615</v>
      </c>
      <c r="D12">
        <v>410</v>
      </c>
      <c r="H12" s="16">
        <v>45880</v>
      </c>
      <c r="I12" s="10">
        <v>3</v>
      </c>
      <c r="J12" s="11">
        <v>587.15</v>
      </c>
      <c r="K12" s="8">
        <v>27.58</v>
      </c>
      <c r="L12" s="8">
        <v>19.8</v>
      </c>
      <c r="M12" s="8">
        <v>12</v>
      </c>
    </row>
    <row r="13" spans="1:13" ht="15.75" x14ac:dyDescent="0.25">
      <c r="A13" s="1">
        <v>45809</v>
      </c>
      <c r="B13" t="s">
        <v>14</v>
      </c>
      <c r="C13">
        <v>864</v>
      </c>
      <c r="D13">
        <v>377</v>
      </c>
      <c r="H13" s="16">
        <v>45881</v>
      </c>
      <c r="I13" s="10">
        <v>3</v>
      </c>
      <c r="J13" s="11">
        <v>582.02</v>
      </c>
      <c r="K13" s="8">
        <v>28.78</v>
      </c>
      <c r="L13" s="8">
        <v>15.51</v>
      </c>
      <c r="M13" s="8">
        <v>12</v>
      </c>
    </row>
    <row r="14" spans="1:13" ht="15.75" x14ac:dyDescent="0.25">
      <c r="A14" s="1">
        <v>45809</v>
      </c>
      <c r="B14" t="s">
        <v>15</v>
      </c>
      <c r="C14">
        <v>400</v>
      </c>
      <c r="D14">
        <v>623</v>
      </c>
      <c r="H14" s="16">
        <v>45882</v>
      </c>
      <c r="I14" s="10">
        <v>3</v>
      </c>
      <c r="J14" s="11">
        <v>610.96</v>
      </c>
      <c r="K14" s="8">
        <v>25.85</v>
      </c>
      <c r="L14" s="8">
        <v>17.29</v>
      </c>
      <c r="M14" s="8">
        <v>12</v>
      </c>
    </row>
    <row r="15" spans="1:13" ht="15.75" x14ac:dyDescent="0.25">
      <c r="A15" s="1">
        <v>45809</v>
      </c>
      <c r="B15" t="s">
        <v>16</v>
      </c>
      <c r="C15">
        <v>1115</v>
      </c>
      <c r="D15">
        <v>1591</v>
      </c>
      <c r="H15" s="16">
        <v>45883</v>
      </c>
      <c r="I15" s="10">
        <v>3</v>
      </c>
      <c r="J15" s="11">
        <v>651.58000000000004</v>
      </c>
      <c r="K15" s="8">
        <v>25.89</v>
      </c>
      <c r="L15" s="8">
        <v>18.48</v>
      </c>
      <c r="M15" s="8">
        <v>12</v>
      </c>
    </row>
    <row r="16" spans="1:13" ht="15.75" x14ac:dyDescent="0.25">
      <c r="A16" s="1">
        <v>45839</v>
      </c>
      <c r="B16" t="s">
        <v>10</v>
      </c>
      <c r="C16">
        <v>792</v>
      </c>
      <c r="D16">
        <v>375</v>
      </c>
      <c r="H16" s="16">
        <v>45884</v>
      </c>
      <c r="I16" s="10">
        <v>3</v>
      </c>
      <c r="J16" s="11">
        <v>614.98</v>
      </c>
      <c r="K16" s="8">
        <v>28.84</v>
      </c>
      <c r="L16" s="8">
        <v>20.96</v>
      </c>
      <c r="M16" s="8">
        <v>12</v>
      </c>
    </row>
    <row r="17" spans="1:13" ht="15.75" x14ac:dyDescent="0.25">
      <c r="A17" s="1">
        <v>45839</v>
      </c>
      <c r="B17" t="s">
        <v>11</v>
      </c>
      <c r="C17">
        <v>251</v>
      </c>
      <c r="D17">
        <v>150</v>
      </c>
      <c r="H17" s="16">
        <v>45885</v>
      </c>
      <c r="I17" s="10">
        <v>3</v>
      </c>
      <c r="J17" s="11">
        <v>627.88</v>
      </c>
      <c r="K17" s="8">
        <v>22.45</v>
      </c>
      <c r="L17" s="8">
        <v>15.68</v>
      </c>
      <c r="M17" s="8">
        <v>12</v>
      </c>
    </row>
    <row r="18" spans="1:13" ht="15.75" x14ac:dyDescent="0.25">
      <c r="A18" s="1">
        <v>45839</v>
      </c>
      <c r="B18" t="s">
        <v>12</v>
      </c>
      <c r="C18">
        <v>328</v>
      </c>
      <c r="D18">
        <v>103</v>
      </c>
      <c r="H18" s="16">
        <v>45886</v>
      </c>
      <c r="I18" s="10">
        <v>3</v>
      </c>
      <c r="J18" s="11">
        <v>231.8</v>
      </c>
      <c r="K18" s="8">
        <v>26.67</v>
      </c>
      <c r="L18" s="8">
        <v>9.5</v>
      </c>
      <c r="M18" s="8">
        <v>12</v>
      </c>
    </row>
    <row r="19" spans="1:13" ht="15.75" x14ac:dyDescent="0.25">
      <c r="A19" s="1">
        <v>45839</v>
      </c>
      <c r="B19" t="s">
        <v>13</v>
      </c>
      <c r="C19">
        <v>445</v>
      </c>
      <c r="D19">
        <v>102</v>
      </c>
      <c r="H19" s="16">
        <v>45887</v>
      </c>
      <c r="I19" s="10">
        <v>3</v>
      </c>
      <c r="J19" s="11">
        <v>521.98</v>
      </c>
      <c r="K19" s="8">
        <v>26.62</v>
      </c>
      <c r="L19" s="8">
        <v>15.97</v>
      </c>
      <c r="M19" s="8">
        <v>12</v>
      </c>
    </row>
    <row r="20" spans="1:13" ht="15.75" x14ac:dyDescent="0.25">
      <c r="A20" s="1">
        <v>45839</v>
      </c>
      <c r="B20" t="s">
        <v>14</v>
      </c>
      <c r="C20">
        <v>225</v>
      </c>
      <c r="D20">
        <v>260</v>
      </c>
      <c r="H20" s="16">
        <v>45888</v>
      </c>
      <c r="I20" s="10">
        <v>3</v>
      </c>
      <c r="J20" s="11">
        <v>543.15</v>
      </c>
      <c r="K20" s="8">
        <v>19.809999999999999</v>
      </c>
      <c r="L20" s="8">
        <v>12.23</v>
      </c>
      <c r="M20" s="8">
        <v>12</v>
      </c>
    </row>
    <row r="21" spans="1:13" ht="15.75" x14ac:dyDescent="0.25">
      <c r="A21" s="1">
        <v>45839</v>
      </c>
      <c r="B21" t="s">
        <v>15</v>
      </c>
      <c r="C21">
        <v>453</v>
      </c>
      <c r="D21">
        <v>750</v>
      </c>
      <c r="H21" s="16">
        <v>45889</v>
      </c>
      <c r="I21" s="10">
        <v>3</v>
      </c>
      <c r="J21" s="11">
        <v>512.24</v>
      </c>
      <c r="K21" s="8">
        <v>23.38</v>
      </c>
      <c r="L21" s="8">
        <v>15.49</v>
      </c>
      <c r="M21" s="8">
        <v>12</v>
      </c>
    </row>
    <row r="22" spans="1:13" ht="15.75" x14ac:dyDescent="0.25">
      <c r="A22" s="1">
        <v>45839</v>
      </c>
      <c r="B22" t="s">
        <v>16</v>
      </c>
      <c r="C22">
        <v>1054</v>
      </c>
      <c r="D22">
        <v>1122</v>
      </c>
      <c r="H22" s="16">
        <v>45890</v>
      </c>
      <c r="I22" s="10">
        <v>3</v>
      </c>
      <c r="J22" s="11">
        <v>565.23</v>
      </c>
      <c r="K22" s="8">
        <v>19.84</v>
      </c>
      <c r="L22" s="8">
        <v>15.36</v>
      </c>
      <c r="M22" s="8">
        <v>12</v>
      </c>
    </row>
    <row r="23" spans="1:13" ht="15.75" x14ac:dyDescent="0.25">
      <c r="A23" s="1">
        <v>45870</v>
      </c>
      <c r="B23" t="s">
        <v>10</v>
      </c>
      <c r="C23">
        <v>830</v>
      </c>
      <c r="D23">
        <v>375</v>
      </c>
      <c r="H23" s="16">
        <v>45891</v>
      </c>
      <c r="I23" s="10">
        <v>3</v>
      </c>
      <c r="J23" s="11">
        <v>636.04999999999995</v>
      </c>
      <c r="K23" s="8">
        <v>23.59</v>
      </c>
      <c r="L23" s="8">
        <v>14.84</v>
      </c>
      <c r="M23" s="8">
        <v>12</v>
      </c>
    </row>
    <row r="24" spans="1:13" ht="15.75" x14ac:dyDescent="0.25">
      <c r="A24" s="1">
        <v>45870</v>
      </c>
      <c r="B24" t="s">
        <v>11</v>
      </c>
      <c r="C24">
        <v>263</v>
      </c>
      <c r="D24">
        <v>150</v>
      </c>
      <c r="H24" s="16">
        <v>45892</v>
      </c>
      <c r="I24" s="10">
        <v>3</v>
      </c>
      <c r="J24" s="11">
        <v>587.15</v>
      </c>
      <c r="K24" s="8">
        <v>24.86</v>
      </c>
      <c r="L24" s="8">
        <v>15.04</v>
      </c>
      <c r="M24" s="8">
        <v>12</v>
      </c>
    </row>
    <row r="25" spans="1:13" ht="15.75" x14ac:dyDescent="0.25">
      <c r="A25" s="1">
        <v>45870</v>
      </c>
      <c r="B25" t="s">
        <v>12</v>
      </c>
      <c r="C25">
        <v>175</v>
      </c>
      <c r="D25">
        <v>103</v>
      </c>
      <c r="H25" s="16">
        <v>45893</v>
      </c>
      <c r="I25" s="10">
        <v>3</v>
      </c>
      <c r="J25" s="11">
        <v>334.34</v>
      </c>
      <c r="K25" s="8">
        <v>26.91</v>
      </c>
      <c r="L25" s="8">
        <v>15.61</v>
      </c>
      <c r="M25" s="8">
        <v>12</v>
      </c>
    </row>
    <row r="26" spans="1:13" ht="15.75" x14ac:dyDescent="0.25">
      <c r="A26" s="1">
        <v>45870</v>
      </c>
      <c r="B26" t="s">
        <v>13</v>
      </c>
      <c r="C26">
        <v>456</v>
      </c>
      <c r="D26">
        <v>102</v>
      </c>
      <c r="H26" s="16">
        <v>45894</v>
      </c>
      <c r="I26" s="10">
        <v>3</v>
      </c>
      <c r="J26" s="11">
        <v>420.35</v>
      </c>
      <c r="K26" s="8">
        <v>20.57</v>
      </c>
      <c r="L26" s="8">
        <v>14.22</v>
      </c>
      <c r="M26" s="8">
        <v>12</v>
      </c>
    </row>
    <row r="27" spans="1:13" ht="15.75" x14ac:dyDescent="0.25">
      <c r="A27" s="1">
        <v>45870</v>
      </c>
      <c r="B27" t="s">
        <v>14</v>
      </c>
      <c r="C27">
        <v>757</v>
      </c>
      <c r="D27">
        <v>260</v>
      </c>
      <c r="H27" s="16">
        <v>45895</v>
      </c>
      <c r="I27" s="10">
        <v>3</v>
      </c>
      <c r="J27" s="11">
        <v>395.62</v>
      </c>
      <c r="K27" s="8">
        <v>22.92</v>
      </c>
      <c r="L27" s="8">
        <v>16.45</v>
      </c>
      <c r="M27" s="8">
        <v>12</v>
      </c>
    </row>
    <row r="28" spans="1:13" ht="15.75" x14ac:dyDescent="0.25">
      <c r="A28" s="1">
        <v>45870</v>
      </c>
      <c r="B28" t="s">
        <v>15</v>
      </c>
      <c r="C28">
        <v>547</v>
      </c>
      <c r="D28">
        <v>750</v>
      </c>
      <c r="H28" s="16">
        <v>45896</v>
      </c>
      <c r="I28" s="10">
        <v>3</v>
      </c>
      <c r="J28" s="11">
        <v>543.72</v>
      </c>
      <c r="K28" s="8">
        <v>27.99</v>
      </c>
      <c r="L28" s="8">
        <v>19.59</v>
      </c>
      <c r="M28" s="8">
        <v>12</v>
      </c>
    </row>
    <row r="29" spans="1:13" ht="15.75" x14ac:dyDescent="0.25">
      <c r="A29" s="1">
        <v>45870</v>
      </c>
      <c r="B29" t="s">
        <v>16</v>
      </c>
      <c r="C29">
        <v>1264</v>
      </c>
      <c r="D29">
        <v>1122</v>
      </c>
      <c r="H29" s="16">
        <v>45897</v>
      </c>
      <c r="I29" s="10">
        <v>3</v>
      </c>
      <c r="J29" s="11">
        <v>535.54</v>
      </c>
      <c r="K29" s="8">
        <v>35.26</v>
      </c>
      <c r="L29" s="8">
        <v>20.85</v>
      </c>
      <c r="M29" s="8">
        <v>12</v>
      </c>
    </row>
    <row r="30" spans="1:13" ht="15.75" x14ac:dyDescent="0.25">
      <c r="H30" s="16">
        <v>45898</v>
      </c>
      <c r="I30" s="10">
        <v>3</v>
      </c>
      <c r="J30" s="11">
        <v>434.89</v>
      </c>
      <c r="K30" s="8">
        <v>26.11</v>
      </c>
      <c r="L30" s="8">
        <v>16.78</v>
      </c>
      <c r="M30" s="8">
        <v>12</v>
      </c>
    </row>
    <row r="31" spans="1:13" ht="15.75" x14ac:dyDescent="0.25">
      <c r="H31" s="16">
        <v>45899</v>
      </c>
      <c r="I31" s="10">
        <v>3</v>
      </c>
      <c r="J31" s="11">
        <v>319.89</v>
      </c>
      <c r="K31" s="8">
        <v>28.46</v>
      </c>
      <c r="L31" s="8">
        <v>13.33</v>
      </c>
      <c r="M31" s="8">
        <v>12</v>
      </c>
    </row>
    <row r="32" spans="1:13" ht="15.75" x14ac:dyDescent="0.25">
      <c r="H32" s="16">
        <v>45900</v>
      </c>
      <c r="I32" s="10">
        <v>3</v>
      </c>
      <c r="J32" s="11">
        <v>452.34</v>
      </c>
      <c r="K32" s="8">
        <v>39.869999999999997</v>
      </c>
      <c r="L32" s="8">
        <v>21.04</v>
      </c>
      <c r="M32" s="8">
        <v>12</v>
      </c>
    </row>
    <row r="33" spans="8:13" x14ac:dyDescent="0.25">
      <c r="H33" s="16">
        <v>45839</v>
      </c>
      <c r="I33" s="7">
        <v>5</v>
      </c>
      <c r="J33" s="12">
        <v>560.03</v>
      </c>
      <c r="K33" s="8">
        <v>33.92</v>
      </c>
      <c r="L33" s="8">
        <v>19.79</v>
      </c>
      <c r="M33" s="8">
        <v>12</v>
      </c>
    </row>
    <row r="34" spans="8:13" ht="15.75" x14ac:dyDescent="0.25">
      <c r="H34" s="16">
        <v>45840</v>
      </c>
      <c r="I34" s="7">
        <v>5</v>
      </c>
      <c r="J34" s="11">
        <v>644.54</v>
      </c>
      <c r="K34" s="8">
        <v>25.04</v>
      </c>
      <c r="L34" s="8">
        <v>19.97</v>
      </c>
      <c r="M34" s="8">
        <v>12</v>
      </c>
    </row>
    <row r="35" spans="8:13" ht="15.75" x14ac:dyDescent="0.25">
      <c r="H35" s="16">
        <v>45841</v>
      </c>
      <c r="I35" s="7">
        <v>5</v>
      </c>
      <c r="J35" s="11">
        <v>591.34</v>
      </c>
      <c r="K35" s="8">
        <v>31.44</v>
      </c>
      <c r="L35" s="8">
        <v>20.22</v>
      </c>
      <c r="M35" s="8">
        <v>12</v>
      </c>
    </row>
    <row r="36" spans="8:13" ht="15.75" x14ac:dyDescent="0.25">
      <c r="H36" s="16">
        <v>45842</v>
      </c>
      <c r="I36" s="7">
        <v>5</v>
      </c>
      <c r="J36" s="11">
        <v>548.92999999999995</v>
      </c>
      <c r="K36" s="8">
        <v>28.42</v>
      </c>
      <c r="L36" s="8">
        <v>21.52</v>
      </c>
      <c r="M36" s="8">
        <v>12</v>
      </c>
    </row>
    <row r="37" spans="8:13" ht="15.75" x14ac:dyDescent="0.25">
      <c r="H37" s="16">
        <v>45843</v>
      </c>
      <c r="I37" s="7">
        <v>5</v>
      </c>
      <c r="J37" s="11">
        <v>711.96</v>
      </c>
      <c r="K37" s="8">
        <v>34.5</v>
      </c>
      <c r="L37" s="8">
        <v>27.52</v>
      </c>
      <c r="M37" s="8">
        <v>12</v>
      </c>
    </row>
    <row r="38" spans="8:13" ht="15.75" x14ac:dyDescent="0.25">
      <c r="H38" s="16">
        <v>45844</v>
      </c>
      <c r="I38" s="10">
        <v>4</v>
      </c>
      <c r="J38" s="11">
        <v>847.54</v>
      </c>
      <c r="K38" s="8">
        <v>29.66</v>
      </c>
      <c r="L38" s="8">
        <v>26.83</v>
      </c>
      <c r="M38" s="8">
        <v>12</v>
      </c>
    </row>
    <row r="39" spans="8:13" ht="15.75" x14ac:dyDescent="0.25">
      <c r="H39" s="16">
        <v>45845</v>
      </c>
      <c r="I39" s="10">
        <v>4</v>
      </c>
      <c r="J39" s="11">
        <v>807.81</v>
      </c>
      <c r="K39" s="8">
        <v>35.33</v>
      </c>
      <c r="L39" s="8">
        <v>25.9</v>
      </c>
      <c r="M39" s="8">
        <v>12</v>
      </c>
    </row>
    <row r="40" spans="8:13" ht="15.75" x14ac:dyDescent="0.25">
      <c r="H40" s="16">
        <v>45846</v>
      </c>
      <c r="I40" s="10">
        <v>4</v>
      </c>
      <c r="J40" s="11">
        <v>1176.46</v>
      </c>
      <c r="K40" s="8">
        <v>41.04</v>
      </c>
      <c r="L40" s="8">
        <v>28.73</v>
      </c>
      <c r="M40" s="8">
        <v>12</v>
      </c>
    </row>
    <row r="41" spans="8:13" ht="15.75" x14ac:dyDescent="0.25">
      <c r="H41" s="16">
        <v>45847</v>
      </c>
      <c r="I41" s="10">
        <v>4</v>
      </c>
      <c r="J41" s="11">
        <v>867.44</v>
      </c>
      <c r="K41" s="8">
        <v>51.99</v>
      </c>
      <c r="L41" s="8">
        <v>26.84</v>
      </c>
      <c r="M41" s="8">
        <v>12</v>
      </c>
    </row>
    <row r="42" spans="8:13" ht="15.75" x14ac:dyDescent="0.25">
      <c r="H42" s="16">
        <v>45848</v>
      </c>
      <c r="I42" s="10">
        <v>6</v>
      </c>
      <c r="J42" s="11">
        <v>814.33</v>
      </c>
      <c r="K42" s="8">
        <v>49.86</v>
      </c>
      <c r="L42" s="8">
        <v>31.46</v>
      </c>
      <c r="M42" s="8">
        <v>12</v>
      </c>
    </row>
    <row r="43" spans="8:13" ht="15.75" x14ac:dyDescent="0.25">
      <c r="H43" s="16">
        <v>45849</v>
      </c>
      <c r="I43" s="10">
        <v>6</v>
      </c>
      <c r="J43" s="11">
        <v>832.75</v>
      </c>
      <c r="K43" s="8">
        <v>41.37</v>
      </c>
      <c r="L43" s="8">
        <v>28.85</v>
      </c>
      <c r="M43" s="8">
        <v>12</v>
      </c>
    </row>
    <row r="44" spans="8:13" ht="15.75" x14ac:dyDescent="0.25">
      <c r="H44" s="16">
        <v>45850</v>
      </c>
      <c r="I44" s="10">
        <v>5</v>
      </c>
      <c r="J44" s="11">
        <v>731.8</v>
      </c>
      <c r="K44" s="8">
        <v>48.29</v>
      </c>
      <c r="L44" s="8">
        <v>37.76</v>
      </c>
      <c r="M44" s="8">
        <v>12</v>
      </c>
    </row>
    <row r="45" spans="8:13" ht="15.75" x14ac:dyDescent="0.25">
      <c r="H45" s="16">
        <v>45851</v>
      </c>
      <c r="I45" s="10">
        <v>5</v>
      </c>
      <c r="J45" s="11">
        <v>827.04</v>
      </c>
      <c r="K45" s="8">
        <v>51.05</v>
      </c>
      <c r="L45" s="8">
        <v>29.41</v>
      </c>
      <c r="M45" s="8">
        <v>12</v>
      </c>
    </row>
    <row r="46" spans="8:13" ht="15.75" x14ac:dyDescent="0.25">
      <c r="H46" s="16">
        <v>45852</v>
      </c>
      <c r="I46" s="10">
        <v>6</v>
      </c>
      <c r="J46" s="11">
        <v>754.98</v>
      </c>
      <c r="K46" s="8">
        <v>28.08</v>
      </c>
      <c r="L46" s="8">
        <v>27.29</v>
      </c>
      <c r="M46" s="8">
        <v>12</v>
      </c>
    </row>
    <row r="47" spans="8:13" ht="15.75" x14ac:dyDescent="0.25">
      <c r="H47" s="16">
        <v>45853</v>
      </c>
      <c r="I47" s="10">
        <v>6</v>
      </c>
      <c r="J47" s="11">
        <v>703.62</v>
      </c>
      <c r="K47" s="8">
        <v>45.58</v>
      </c>
      <c r="L47" s="8">
        <v>25.76</v>
      </c>
      <c r="M47" s="8">
        <v>12</v>
      </c>
    </row>
    <row r="48" spans="8:13" ht="15.75" x14ac:dyDescent="0.25">
      <c r="H48" s="16">
        <v>45854</v>
      </c>
      <c r="I48" s="10">
        <v>6</v>
      </c>
      <c r="J48" s="11">
        <v>800.93</v>
      </c>
      <c r="K48" s="8">
        <v>53.92</v>
      </c>
      <c r="L48" s="8">
        <v>37.71</v>
      </c>
      <c r="M48" s="8">
        <v>12</v>
      </c>
    </row>
    <row r="49" spans="8:13" ht="15.75" x14ac:dyDescent="0.25">
      <c r="H49" s="16">
        <v>45855</v>
      </c>
      <c r="I49" s="10">
        <v>6</v>
      </c>
      <c r="J49" s="11">
        <v>650.54</v>
      </c>
      <c r="K49" s="8">
        <v>43.61</v>
      </c>
      <c r="L49" s="8">
        <v>28.6</v>
      </c>
      <c r="M49" s="8">
        <v>12</v>
      </c>
    </row>
    <row r="50" spans="8:13" ht="15.75" x14ac:dyDescent="0.25">
      <c r="H50" s="16">
        <v>45856</v>
      </c>
      <c r="I50" s="10">
        <v>6</v>
      </c>
      <c r="J50" s="11">
        <v>642.91999999999996</v>
      </c>
      <c r="K50" s="8">
        <v>42.37</v>
      </c>
      <c r="L50" s="8">
        <v>27.17</v>
      </c>
      <c r="M50" s="8">
        <v>12</v>
      </c>
    </row>
    <row r="51" spans="8:13" ht="15.75" x14ac:dyDescent="0.25">
      <c r="H51" s="16">
        <v>45857</v>
      </c>
      <c r="I51" s="10">
        <v>6</v>
      </c>
      <c r="J51" s="11">
        <v>506.53</v>
      </c>
      <c r="K51" s="8">
        <v>28.13</v>
      </c>
      <c r="L51" s="8">
        <v>19.71</v>
      </c>
      <c r="M51" s="8">
        <v>12</v>
      </c>
    </row>
    <row r="52" spans="8:13" ht="15.75" x14ac:dyDescent="0.25">
      <c r="H52" s="16">
        <v>45858</v>
      </c>
      <c r="I52" s="10">
        <v>6</v>
      </c>
      <c r="J52" s="11">
        <v>614.95000000000005</v>
      </c>
      <c r="K52" s="8">
        <v>42.51</v>
      </c>
      <c r="L52" s="8">
        <v>31.7</v>
      </c>
      <c r="M52" s="8">
        <v>12</v>
      </c>
    </row>
    <row r="53" spans="8:13" ht="15.75" x14ac:dyDescent="0.25">
      <c r="H53" s="16">
        <v>45859</v>
      </c>
      <c r="I53" s="10">
        <v>6</v>
      </c>
      <c r="J53" s="11">
        <v>504.36</v>
      </c>
      <c r="K53" s="8">
        <v>47.28</v>
      </c>
      <c r="L53" s="8">
        <v>26.47</v>
      </c>
      <c r="M53" s="8">
        <v>12</v>
      </c>
    </row>
    <row r="54" spans="8:13" ht="15.75" x14ac:dyDescent="0.25">
      <c r="H54" s="16">
        <v>45860</v>
      </c>
      <c r="I54" s="10">
        <v>6</v>
      </c>
      <c r="J54" s="11">
        <v>509.06</v>
      </c>
      <c r="K54" s="8">
        <v>38.299999999999997</v>
      </c>
      <c r="L54" s="8">
        <v>23.89</v>
      </c>
      <c r="M54" s="8">
        <v>12</v>
      </c>
    </row>
    <row r="55" spans="8:13" ht="15.75" x14ac:dyDescent="0.25">
      <c r="H55" s="16">
        <v>45861</v>
      </c>
      <c r="I55" s="10">
        <v>6</v>
      </c>
      <c r="J55" s="11">
        <v>416.95</v>
      </c>
      <c r="K55" s="8">
        <v>36.130000000000003</v>
      </c>
      <c r="L55" s="8">
        <v>30.16</v>
      </c>
      <c r="M55" s="8">
        <v>12</v>
      </c>
    </row>
    <row r="56" spans="8:13" ht="15.75" x14ac:dyDescent="0.25">
      <c r="H56" s="16">
        <v>45862</v>
      </c>
      <c r="I56" s="10">
        <v>6</v>
      </c>
      <c r="J56" s="11">
        <v>412.13</v>
      </c>
      <c r="K56" s="8">
        <v>26.63</v>
      </c>
      <c r="L56" s="8">
        <v>25.32</v>
      </c>
      <c r="M56" s="8">
        <v>12</v>
      </c>
    </row>
    <row r="57" spans="8:13" ht="15.75" x14ac:dyDescent="0.25">
      <c r="H57" s="16">
        <v>45863</v>
      </c>
      <c r="I57" s="10">
        <v>6</v>
      </c>
      <c r="J57" s="11">
        <v>364.58</v>
      </c>
      <c r="K57" s="8">
        <v>31.28</v>
      </c>
      <c r="L57" s="8">
        <v>21.32</v>
      </c>
      <c r="M57" s="8">
        <v>12</v>
      </c>
    </row>
    <row r="58" spans="8:13" ht="15.75" x14ac:dyDescent="0.25">
      <c r="H58" s="16">
        <v>45864</v>
      </c>
      <c r="I58" s="10">
        <v>6</v>
      </c>
      <c r="J58" s="11">
        <v>367.78</v>
      </c>
      <c r="K58" s="8">
        <v>37.369999999999997</v>
      </c>
      <c r="L58" s="8">
        <v>21.95</v>
      </c>
      <c r="M58" s="8">
        <v>12</v>
      </c>
    </row>
    <row r="59" spans="8:13" ht="15.75" x14ac:dyDescent="0.25">
      <c r="H59" s="16">
        <v>45865</v>
      </c>
      <c r="I59" s="10">
        <v>6</v>
      </c>
      <c r="J59" s="11">
        <v>425.9</v>
      </c>
      <c r="K59" s="8">
        <v>29.4</v>
      </c>
      <c r="L59" s="8">
        <v>22.31</v>
      </c>
      <c r="M59" s="8">
        <v>12</v>
      </c>
    </row>
    <row r="60" spans="8:13" ht="15.75" x14ac:dyDescent="0.25">
      <c r="H60" s="16">
        <v>45866</v>
      </c>
      <c r="I60" s="10">
        <v>6</v>
      </c>
      <c r="J60" s="11">
        <v>452.63</v>
      </c>
      <c r="K60" s="8">
        <v>26.74</v>
      </c>
      <c r="L60" s="8">
        <v>17.78</v>
      </c>
      <c r="M60" s="8">
        <v>12</v>
      </c>
    </row>
    <row r="61" spans="8:13" ht="15.75" x14ac:dyDescent="0.25">
      <c r="H61" s="16">
        <v>45867</v>
      </c>
      <c r="I61" s="10">
        <v>6</v>
      </c>
      <c r="J61" s="11">
        <v>426.18</v>
      </c>
      <c r="K61" s="8">
        <v>26.89</v>
      </c>
      <c r="L61" s="8">
        <v>19.170000000000002</v>
      </c>
      <c r="M61" s="8">
        <v>12</v>
      </c>
    </row>
    <row r="62" spans="8:13" ht="15.75" x14ac:dyDescent="0.25">
      <c r="H62" s="16">
        <v>45868</v>
      </c>
      <c r="I62" s="10">
        <v>6</v>
      </c>
      <c r="J62" s="11">
        <v>409.69</v>
      </c>
      <c r="K62" s="8">
        <v>37.42</v>
      </c>
      <c r="L62" s="8">
        <v>23.92</v>
      </c>
      <c r="M62" s="8">
        <v>12</v>
      </c>
    </row>
    <row r="63" spans="8:13" ht="15.75" x14ac:dyDescent="0.25">
      <c r="H63" s="16">
        <v>45869</v>
      </c>
      <c r="I63" s="10">
        <v>6</v>
      </c>
      <c r="J63" s="11">
        <v>387.15</v>
      </c>
      <c r="K63" s="8">
        <v>34.96</v>
      </c>
      <c r="L63" s="8">
        <v>20.43</v>
      </c>
      <c r="M63" s="8">
        <v>12</v>
      </c>
    </row>
    <row r="64" spans="8:13" x14ac:dyDescent="0.25">
      <c r="H64" s="16">
        <v>45809</v>
      </c>
      <c r="I64" s="7">
        <v>7</v>
      </c>
      <c r="J64" s="12">
        <v>392.33</v>
      </c>
      <c r="K64" s="8">
        <v>20.56</v>
      </c>
      <c r="L64" s="8">
        <v>11.78</v>
      </c>
      <c r="M64" s="8">
        <v>12</v>
      </c>
    </row>
    <row r="65" spans="8:13" ht="15.75" x14ac:dyDescent="0.25">
      <c r="H65" s="16">
        <v>45810</v>
      </c>
      <c r="I65" s="10">
        <v>7</v>
      </c>
      <c r="J65" s="11">
        <v>298</v>
      </c>
      <c r="K65" s="8">
        <v>25.81</v>
      </c>
      <c r="L65" s="8">
        <v>11.23</v>
      </c>
      <c r="M65" s="8">
        <v>12</v>
      </c>
    </row>
    <row r="66" spans="8:13" ht="15.75" x14ac:dyDescent="0.25">
      <c r="H66" s="16">
        <v>45811</v>
      </c>
      <c r="I66" s="10">
        <v>7</v>
      </c>
      <c r="J66" s="11">
        <v>325.89</v>
      </c>
      <c r="K66" s="8">
        <v>19.440000000000001</v>
      </c>
      <c r="L66" s="8">
        <v>11.53</v>
      </c>
      <c r="M66" s="8">
        <v>12</v>
      </c>
    </row>
    <row r="67" spans="8:13" ht="15.75" x14ac:dyDescent="0.25">
      <c r="H67" s="16">
        <v>45812</v>
      </c>
      <c r="I67" s="10">
        <v>6</v>
      </c>
      <c r="J67" s="11">
        <v>321.06</v>
      </c>
      <c r="K67" s="8">
        <v>15.88</v>
      </c>
      <c r="L67" s="8">
        <v>10.77</v>
      </c>
      <c r="M67" s="8">
        <v>12</v>
      </c>
    </row>
    <row r="68" spans="8:13" ht="15.75" x14ac:dyDescent="0.25">
      <c r="H68" s="16">
        <v>45813</v>
      </c>
      <c r="I68" s="10">
        <v>6</v>
      </c>
      <c r="J68" s="11">
        <v>363.38</v>
      </c>
      <c r="K68" s="8">
        <v>19.809999999999999</v>
      </c>
      <c r="L68" s="8">
        <v>14.87</v>
      </c>
      <c r="M68" s="8">
        <v>12</v>
      </c>
    </row>
    <row r="69" spans="8:13" ht="15.75" x14ac:dyDescent="0.25">
      <c r="H69" s="16">
        <v>45814</v>
      </c>
      <c r="I69" s="10">
        <v>6</v>
      </c>
      <c r="J69" s="11">
        <v>329.93</v>
      </c>
      <c r="K69" s="8">
        <v>20.97</v>
      </c>
      <c r="L69" s="8">
        <v>14.92</v>
      </c>
      <c r="M69" s="8">
        <v>12</v>
      </c>
    </row>
    <row r="70" spans="8:13" ht="15.75" x14ac:dyDescent="0.25">
      <c r="H70" s="16">
        <v>45815</v>
      </c>
      <c r="I70" s="10">
        <v>6</v>
      </c>
      <c r="J70" s="11">
        <v>362.37</v>
      </c>
      <c r="K70" s="8">
        <v>20.59</v>
      </c>
      <c r="L70" s="8">
        <v>13</v>
      </c>
      <c r="M70" s="8">
        <v>12</v>
      </c>
    </row>
    <row r="71" spans="8:13" ht="15.75" x14ac:dyDescent="0.25">
      <c r="H71" s="16">
        <v>45816</v>
      </c>
      <c r="I71" s="10">
        <v>6</v>
      </c>
      <c r="J71" s="11">
        <v>400.43</v>
      </c>
      <c r="K71" s="8">
        <v>27.32</v>
      </c>
      <c r="L71" s="8">
        <v>14.01</v>
      </c>
      <c r="M71" s="8">
        <v>12</v>
      </c>
    </row>
    <row r="72" spans="8:13" ht="15.75" x14ac:dyDescent="0.25">
      <c r="H72" s="16">
        <v>45817</v>
      </c>
      <c r="I72" s="10">
        <v>6</v>
      </c>
      <c r="J72" s="11">
        <v>141.69</v>
      </c>
      <c r="K72" s="8">
        <v>21.98</v>
      </c>
      <c r="L72" s="8">
        <v>12.13</v>
      </c>
      <c r="M72" s="8">
        <v>12</v>
      </c>
    </row>
    <row r="73" spans="8:13" ht="15.75" x14ac:dyDescent="0.25">
      <c r="H73" s="16">
        <v>45818</v>
      </c>
      <c r="I73" s="10">
        <v>6</v>
      </c>
      <c r="J73" s="11">
        <v>400.62</v>
      </c>
      <c r="K73" s="8">
        <v>32.770000000000003</v>
      </c>
      <c r="L73" s="8">
        <v>13.17</v>
      </c>
      <c r="M73" s="8">
        <v>12</v>
      </c>
    </row>
    <row r="74" spans="8:13" ht="15.75" x14ac:dyDescent="0.25">
      <c r="H74" s="16">
        <v>45819</v>
      </c>
      <c r="I74" s="10">
        <v>4</v>
      </c>
      <c r="J74" s="11">
        <v>447.03</v>
      </c>
      <c r="K74" s="8">
        <v>24.15</v>
      </c>
      <c r="L74" s="8">
        <v>16.89</v>
      </c>
      <c r="M74" s="8">
        <v>12</v>
      </c>
    </row>
    <row r="75" spans="8:13" ht="15.75" x14ac:dyDescent="0.25">
      <c r="H75" s="16">
        <v>45820</v>
      </c>
      <c r="I75" s="10">
        <v>5</v>
      </c>
      <c r="J75" s="11">
        <v>458.2</v>
      </c>
      <c r="K75" s="8">
        <v>30.65</v>
      </c>
      <c r="L75" s="8">
        <v>24.77</v>
      </c>
      <c r="M75" s="8">
        <v>12</v>
      </c>
    </row>
    <row r="76" spans="8:13" ht="15.75" x14ac:dyDescent="0.25">
      <c r="H76" s="16">
        <v>45821</v>
      </c>
      <c r="I76" s="10">
        <v>5</v>
      </c>
      <c r="J76" s="11">
        <v>385.51</v>
      </c>
      <c r="K76" s="8">
        <v>25.34</v>
      </c>
      <c r="L76" s="8">
        <v>17.02</v>
      </c>
      <c r="M76" s="8">
        <v>12</v>
      </c>
    </row>
    <row r="77" spans="8:13" ht="15.75" x14ac:dyDescent="0.25">
      <c r="H77" s="16">
        <v>45822</v>
      </c>
      <c r="I77" s="10">
        <v>5</v>
      </c>
      <c r="J77" s="11">
        <v>420.17</v>
      </c>
      <c r="K77" s="8">
        <v>25.35</v>
      </c>
      <c r="L77" s="8">
        <v>22.21</v>
      </c>
      <c r="M77" s="8">
        <v>12</v>
      </c>
    </row>
    <row r="78" spans="8:13" ht="15.75" x14ac:dyDescent="0.25">
      <c r="H78" s="16">
        <v>45823</v>
      </c>
      <c r="I78" s="10">
        <v>5</v>
      </c>
      <c r="J78" s="11">
        <v>423.44</v>
      </c>
      <c r="K78" s="8">
        <v>33.99</v>
      </c>
      <c r="L78" s="8">
        <v>25.28</v>
      </c>
      <c r="M78" s="8">
        <v>12</v>
      </c>
    </row>
    <row r="79" spans="8:13" ht="15.75" x14ac:dyDescent="0.25">
      <c r="H79" s="16">
        <v>45824</v>
      </c>
      <c r="I79" s="10">
        <v>5</v>
      </c>
      <c r="J79" s="11">
        <v>457.39</v>
      </c>
      <c r="K79" s="8">
        <v>21.16</v>
      </c>
      <c r="L79" s="8">
        <v>17.45</v>
      </c>
      <c r="M79" s="8">
        <v>12</v>
      </c>
    </row>
    <row r="80" spans="8:13" ht="15.75" x14ac:dyDescent="0.25">
      <c r="H80" s="16">
        <v>45825</v>
      </c>
      <c r="I80" s="10">
        <v>5</v>
      </c>
      <c r="J80" s="11">
        <v>395.42</v>
      </c>
      <c r="K80" s="8">
        <v>21.47</v>
      </c>
      <c r="L80" s="8">
        <v>16.52</v>
      </c>
      <c r="M80" s="8">
        <v>12</v>
      </c>
    </row>
    <row r="81" spans="8:13" ht="15.75" x14ac:dyDescent="0.25">
      <c r="H81" s="16">
        <v>45826</v>
      </c>
      <c r="I81" s="10">
        <v>5</v>
      </c>
      <c r="J81" s="11">
        <v>479.58</v>
      </c>
      <c r="K81" s="8">
        <v>26.58</v>
      </c>
      <c r="L81" s="8">
        <v>20.76</v>
      </c>
      <c r="M81" s="8">
        <v>12</v>
      </c>
    </row>
    <row r="82" spans="8:13" ht="15.75" x14ac:dyDescent="0.25">
      <c r="H82" s="16">
        <v>45827</v>
      </c>
      <c r="I82" s="10">
        <v>5</v>
      </c>
      <c r="J82" s="11">
        <v>470.09</v>
      </c>
      <c r="K82" s="8">
        <v>25.46</v>
      </c>
      <c r="L82" s="8">
        <v>20.79</v>
      </c>
      <c r="M82" s="8">
        <v>12</v>
      </c>
    </row>
    <row r="83" spans="8:13" ht="15.75" x14ac:dyDescent="0.25">
      <c r="H83" s="16">
        <v>45828</v>
      </c>
      <c r="I83" s="10">
        <v>5</v>
      </c>
      <c r="J83" s="11">
        <v>419.57</v>
      </c>
      <c r="K83" s="8">
        <v>25.48</v>
      </c>
      <c r="L83" s="8">
        <v>14.71</v>
      </c>
      <c r="M83" s="8">
        <v>12</v>
      </c>
    </row>
    <row r="84" spans="8:13" ht="15.75" x14ac:dyDescent="0.25">
      <c r="H84" s="16">
        <v>45829</v>
      </c>
      <c r="I84" s="10">
        <v>4</v>
      </c>
      <c r="J84" s="11">
        <v>445.51</v>
      </c>
      <c r="K84" s="8">
        <v>36.06</v>
      </c>
      <c r="L84" s="8">
        <v>27.16</v>
      </c>
      <c r="M84" s="8">
        <v>12</v>
      </c>
    </row>
    <row r="85" spans="8:13" ht="15.75" x14ac:dyDescent="0.25">
      <c r="H85" s="16">
        <v>45830</v>
      </c>
      <c r="I85" s="10">
        <v>4</v>
      </c>
      <c r="J85" s="11">
        <v>477.1</v>
      </c>
      <c r="K85" s="8">
        <v>22.61</v>
      </c>
      <c r="L85" s="8">
        <v>16.29</v>
      </c>
      <c r="M85" s="8">
        <v>12</v>
      </c>
    </row>
    <row r="86" spans="8:13" ht="15.75" x14ac:dyDescent="0.25">
      <c r="H86" s="16">
        <v>45831</v>
      </c>
      <c r="I86" s="10">
        <v>5</v>
      </c>
      <c r="J86" s="11">
        <v>412.1</v>
      </c>
      <c r="K86" s="8">
        <v>35.4</v>
      </c>
      <c r="L86" s="8">
        <v>25.47</v>
      </c>
      <c r="M86" s="8">
        <v>12</v>
      </c>
    </row>
    <row r="87" spans="8:13" ht="15.75" x14ac:dyDescent="0.25">
      <c r="H87" s="16">
        <v>45832</v>
      </c>
      <c r="I87" s="10">
        <v>4</v>
      </c>
      <c r="J87" s="11">
        <v>571.29999999999995</v>
      </c>
      <c r="K87" s="8">
        <v>52.6</v>
      </c>
      <c r="L87" s="8">
        <v>45.03</v>
      </c>
      <c r="M87" s="8">
        <v>12</v>
      </c>
    </row>
    <row r="88" spans="8:13" ht="15.75" x14ac:dyDescent="0.25">
      <c r="H88" s="16">
        <v>45833</v>
      </c>
      <c r="I88" s="10">
        <v>4</v>
      </c>
      <c r="J88" s="11">
        <v>512.24</v>
      </c>
      <c r="K88" s="8">
        <v>23.1</v>
      </c>
      <c r="L88" s="8">
        <v>19.940000000000001</v>
      </c>
      <c r="M88" s="8">
        <v>12</v>
      </c>
    </row>
    <row r="89" spans="8:13" ht="15.75" x14ac:dyDescent="0.25">
      <c r="H89" s="16">
        <v>45834</v>
      </c>
      <c r="I89" s="10">
        <v>4</v>
      </c>
      <c r="J89" s="11">
        <v>565.23</v>
      </c>
      <c r="K89" s="8">
        <v>32.18</v>
      </c>
      <c r="L89" s="8">
        <v>26.45</v>
      </c>
      <c r="M89" s="8">
        <v>12</v>
      </c>
    </row>
    <row r="90" spans="8:13" ht="15.75" x14ac:dyDescent="0.25">
      <c r="H90" s="16">
        <v>45835</v>
      </c>
      <c r="I90" s="10">
        <v>4</v>
      </c>
      <c r="J90" s="11">
        <v>636.04999999999995</v>
      </c>
      <c r="K90" s="8">
        <v>35.76</v>
      </c>
      <c r="L90" s="8">
        <v>29.92</v>
      </c>
      <c r="M90" s="8">
        <v>12</v>
      </c>
    </row>
    <row r="91" spans="8:13" ht="15.75" x14ac:dyDescent="0.25">
      <c r="H91" s="16">
        <v>45836</v>
      </c>
      <c r="I91" s="10">
        <v>5</v>
      </c>
      <c r="J91" s="11">
        <v>587.15</v>
      </c>
      <c r="K91" s="8">
        <v>44.17</v>
      </c>
      <c r="L91" s="8">
        <v>46.51</v>
      </c>
      <c r="M91" s="8">
        <v>12</v>
      </c>
    </row>
    <row r="92" spans="8:13" ht="15.75" x14ac:dyDescent="0.25">
      <c r="H92" s="16">
        <v>45837</v>
      </c>
      <c r="I92" s="10">
        <v>5</v>
      </c>
      <c r="J92" s="11">
        <v>582.02</v>
      </c>
      <c r="K92" s="8">
        <v>47.87</v>
      </c>
      <c r="L92" s="8">
        <v>29.25</v>
      </c>
      <c r="M92" s="8">
        <v>12</v>
      </c>
    </row>
    <row r="93" spans="8:13" ht="15.75" x14ac:dyDescent="0.25">
      <c r="H93" s="16">
        <v>45838</v>
      </c>
      <c r="I93" s="10">
        <v>5</v>
      </c>
      <c r="J93" s="11">
        <v>445.66</v>
      </c>
      <c r="K93" s="8">
        <v>53.57</v>
      </c>
      <c r="L93" s="8">
        <v>33.090000000000003</v>
      </c>
      <c r="M93" s="8">
        <v>12</v>
      </c>
    </row>
    <row r="94" spans="8:13" x14ac:dyDescent="0.25">
      <c r="H94" s="16">
        <v>45778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2955F-397D-4A78-B7AC-33A4AB441B61}">
  <dimension ref="A1:I114"/>
  <sheetViews>
    <sheetView topLeftCell="A16" zoomScaleNormal="100" workbookViewId="0">
      <selection activeCell="A2" sqref="A2"/>
    </sheetView>
  </sheetViews>
  <sheetFormatPr defaultRowHeight="15" x14ac:dyDescent="0.25"/>
  <cols>
    <col min="1" max="1" width="11.140625" bestFit="1" customWidth="1"/>
    <col min="2" max="2" width="11" bestFit="1" customWidth="1"/>
    <col min="3" max="3" width="16.7109375" bestFit="1" customWidth="1"/>
    <col min="4" max="92" width="10.85546875" bestFit="1" customWidth="1"/>
    <col min="93" max="93" width="11.140625" bestFit="1" customWidth="1"/>
    <col min="94" max="94" width="16.7109375" bestFit="1" customWidth="1"/>
    <col min="95" max="130" width="8" bestFit="1" customWidth="1"/>
    <col min="131" max="131" width="9.5703125" bestFit="1" customWidth="1"/>
    <col min="132" max="185" width="8" bestFit="1" customWidth="1"/>
    <col min="186" max="186" width="15.7109375" bestFit="1" customWidth="1"/>
    <col min="187" max="187" width="21.5703125" bestFit="1" customWidth="1"/>
  </cols>
  <sheetData>
    <row r="1" spans="1:9" x14ac:dyDescent="0.25">
      <c r="A1" s="3" t="s">
        <v>0</v>
      </c>
      <c r="B1" s="4" t="s">
        <v>1</v>
      </c>
      <c r="C1" s="4" t="s">
        <v>2</v>
      </c>
      <c r="D1" s="5" t="s">
        <v>3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</row>
    <row r="2" spans="1:9" x14ac:dyDescent="0.25">
      <c r="A2" s="6">
        <v>45870</v>
      </c>
      <c r="B2" s="7" t="s">
        <v>10</v>
      </c>
      <c r="C2" s="7">
        <f>SUMIFS(Table1[[Actual ]],Table1[Months],Charts!$A$2,Table1[Drop Cloth],Charts!B2)</f>
        <v>830</v>
      </c>
      <c r="D2" s="7">
        <f>SUMIFS(Table1[Traget],Table1[Months],Charts!$A$2,Table1[Drop Cloth],Charts!B2)</f>
        <v>375</v>
      </c>
      <c r="E2" s="7">
        <f>MIN(C2:D2)</f>
        <v>375</v>
      </c>
      <c r="F2" s="7">
        <f>MAX(C2:D2)</f>
        <v>830</v>
      </c>
      <c r="G2" s="7">
        <f>IF(C2&gt;D2,C2-D2,NA())</f>
        <v>455</v>
      </c>
      <c r="H2" s="7" t="e">
        <f>IF(C2&lt;D2,D2-C2,NA())</f>
        <v>#N/A</v>
      </c>
      <c r="I2" s="7">
        <f>C2-D2</f>
        <v>455</v>
      </c>
    </row>
    <row r="3" spans="1:9" x14ac:dyDescent="0.25">
      <c r="A3" s="7"/>
      <c r="B3" s="7" t="s">
        <v>11</v>
      </c>
      <c r="C3" s="7">
        <f>SUMIFS(Table1[[Actual ]],Table1[Months],Charts!$A$2,Table1[Drop Cloth],Charts!B3)</f>
        <v>263</v>
      </c>
      <c r="D3" s="7">
        <f>SUMIFS(Table1[Traget],Table1[Months],Charts!$A$2,Table1[Drop Cloth],Charts!B3)</f>
        <v>150</v>
      </c>
      <c r="E3" s="7">
        <f t="shared" ref="E3:E8" si="0">MIN(C3:D3)</f>
        <v>150</v>
      </c>
      <c r="F3" s="7">
        <f t="shared" ref="F3:F8" si="1">MAX(C3:D3)</f>
        <v>263</v>
      </c>
      <c r="G3" s="7">
        <f t="shared" ref="G3:G8" si="2">IF(C3&gt;D3,C3-D3,NA())</f>
        <v>113</v>
      </c>
      <c r="H3" s="7" t="e">
        <f t="shared" ref="H3:H8" si="3">IF(C3&lt;D3,D3-C3,NA())</f>
        <v>#N/A</v>
      </c>
      <c r="I3" s="7">
        <f t="shared" ref="I3:I8" si="4">C3-D3</f>
        <v>113</v>
      </c>
    </row>
    <row r="4" spans="1:9" x14ac:dyDescent="0.25">
      <c r="A4" s="7"/>
      <c r="B4" s="7" t="s">
        <v>12</v>
      </c>
      <c r="C4" s="7">
        <f>SUMIFS(Table1[[Actual ]],Table1[Months],Charts!$A$2,Table1[Drop Cloth],Charts!B4)</f>
        <v>175</v>
      </c>
      <c r="D4" s="7">
        <f>SUMIFS(Table1[Traget],Table1[Months],Charts!$A$2,Table1[Drop Cloth],Charts!B4)</f>
        <v>103</v>
      </c>
      <c r="E4" s="7">
        <f t="shared" si="0"/>
        <v>103</v>
      </c>
      <c r="F4" s="7">
        <f t="shared" si="1"/>
        <v>175</v>
      </c>
      <c r="G4" s="7">
        <f t="shared" si="2"/>
        <v>72</v>
      </c>
      <c r="H4" s="7" t="e">
        <f t="shared" si="3"/>
        <v>#N/A</v>
      </c>
      <c r="I4" s="7">
        <f t="shared" si="4"/>
        <v>72</v>
      </c>
    </row>
    <row r="5" spans="1:9" x14ac:dyDescent="0.25">
      <c r="A5" s="7"/>
      <c r="B5" s="7" t="s">
        <v>13</v>
      </c>
      <c r="C5" s="7">
        <f>SUMIFS(Table1[[Actual ]],Table1[Months],Charts!$A$2,Table1[Drop Cloth],Charts!B5)</f>
        <v>456</v>
      </c>
      <c r="D5" s="7">
        <f>SUMIFS(Table1[Traget],Table1[Months],Charts!$A$2,Table1[Drop Cloth],Charts!B5)</f>
        <v>102</v>
      </c>
      <c r="E5" s="7">
        <f t="shared" si="0"/>
        <v>102</v>
      </c>
      <c r="F5" s="7">
        <f t="shared" si="1"/>
        <v>456</v>
      </c>
      <c r="G5" s="7">
        <f t="shared" si="2"/>
        <v>354</v>
      </c>
      <c r="H5" s="7" t="e">
        <f t="shared" si="3"/>
        <v>#N/A</v>
      </c>
      <c r="I5" s="7">
        <f t="shared" si="4"/>
        <v>354</v>
      </c>
    </row>
    <row r="6" spans="1:9" x14ac:dyDescent="0.25">
      <c r="A6" s="7"/>
      <c r="B6" s="7" t="s">
        <v>14</v>
      </c>
      <c r="C6" s="7">
        <f>SUMIFS(Table1[[Actual ]],Table1[Months],Charts!$A$2,Table1[Drop Cloth],Charts!B6)</f>
        <v>757</v>
      </c>
      <c r="D6" s="7">
        <f>SUMIFS(Table1[Traget],Table1[Months],Charts!$A$2,Table1[Drop Cloth],Charts!B6)</f>
        <v>260</v>
      </c>
      <c r="E6" s="7">
        <f t="shared" si="0"/>
        <v>260</v>
      </c>
      <c r="F6" s="7">
        <f t="shared" si="1"/>
        <v>757</v>
      </c>
      <c r="G6" s="7">
        <f t="shared" si="2"/>
        <v>497</v>
      </c>
      <c r="H6" s="7" t="e">
        <f t="shared" si="3"/>
        <v>#N/A</v>
      </c>
      <c r="I6" s="7">
        <f t="shared" si="4"/>
        <v>497</v>
      </c>
    </row>
    <row r="7" spans="1:9" x14ac:dyDescent="0.25">
      <c r="A7" s="7"/>
      <c r="B7" s="7" t="s">
        <v>15</v>
      </c>
      <c r="C7" s="7">
        <f>SUMIFS(Table1[[Actual ]],Table1[Months],Charts!$A$2,Table1[Drop Cloth],Charts!B7)</f>
        <v>547</v>
      </c>
      <c r="D7" s="7">
        <f>SUMIFS(Table1[Traget],Table1[Months],Charts!$A$2,Table1[Drop Cloth],Charts!B7)</f>
        <v>750</v>
      </c>
      <c r="E7" s="7">
        <f t="shared" si="0"/>
        <v>547</v>
      </c>
      <c r="F7" s="7">
        <f t="shared" si="1"/>
        <v>750</v>
      </c>
      <c r="G7" s="7" t="e">
        <f t="shared" si="2"/>
        <v>#N/A</v>
      </c>
      <c r="H7" s="7">
        <f t="shared" si="3"/>
        <v>203</v>
      </c>
      <c r="I7" s="7">
        <f t="shared" si="4"/>
        <v>-203</v>
      </c>
    </row>
    <row r="8" spans="1:9" x14ac:dyDescent="0.25">
      <c r="A8" s="7"/>
      <c r="B8" s="7" t="s">
        <v>16</v>
      </c>
      <c r="C8" s="7">
        <f>SUMIFS(Table1[[Actual ]],Table1[Months],Charts!$A$2,Table1[Drop Cloth],Charts!B8)</f>
        <v>1264</v>
      </c>
      <c r="D8" s="7">
        <f>SUMIFS(Table1[Traget],Table1[Months],Charts!$A$2,Table1[Drop Cloth],Charts!B8)</f>
        <v>1122</v>
      </c>
      <c r="E8" s="7">
        <f t="shared" si="0"/>
        <v>1122</v>
      </c>
      <c r="F8" s="7">
        <f t="shared" si="1"/>
        <v>1264</v>
      </c>
      <c r="G8" s="7">
        <f t="shared" si="2"/>
        <v>142</v>
      </c>
      <c r="H8" s="7" t="e">
        <f t="shared" si="3"/>
        <v>#N/A</v>
      </c>
      <c r="I8" s="7">
        <f t="shared" si="4"/>
        <v>142</v>
      </c>
    </row>
    <row r="21" spans="1:3" x14ac:dyDescent="0.25">
      <c r="A21" s="13" t="s">
        <v>4</v>
      </c>
      <c r="B21" t="s">
        <v>22</v>
      </c>
      <c r="C21" t="s">
        <v>23</v>
      </c>
    </row>
    <row r="22" spans="1:3" x14ac:dyDescent="0.25">
      <c r="A22" s="17">
        <v>45809</v>
      </c>
      <c r="B22" s="14">
        <v>7</v>
      </c>
      <c r="C22" s="15">
        <v>392.33</v>
      </c>
    </row>
    <row r="23" spans="1:3" x14ac:dyDescent="0.25">
      <c r="A23" s="17">
        <v>45810</v>
      </c>
      <c r="B23" s="14">
        <v>7</v>
      </c>
      <c r="C23" s="15">
        <v>298</v>
      </c>
    </row>
    <row r="24" spans="1:3" x14ac:dyDescent="0.25">
      <c r="A24" s="17">
        <v>45811</v>
      </c>
      <c r="B24" s="14">
        <v>7</v>
      </c>
      <c r="C24" s="15">
        <v>325.89</v>
      </c>
    </row>
    <row r="25" spans="1:3" x14ac:dyDescent="0.25">
      <c r="A25" s="17">
        <v>45812</v>
      </c>
      <c r="B25" s="14">
        <v>6</v>
      </c>
      <c r="C25" s="15">
        <v>321.06</v>
      </c>
    </row>
    <row r="26" spans="1:3" x14ac:dyDescent="0.25">
      <c r="A26" s="17">
        <v>45813</v>
      </c>
      <c r="B26" s="14">
        <v>6</v>
      </c>
      <c r="C26" s="15">
        <v>363.38</v>
      </c>
    </row>
    <row r="27" spans="1:3" x14ac:dyDescent="0.25">
      <c r="A27" s="17">
        <v>45814</v>
      </c>
      <c r="B27" s="14">
        <v>6</v>
      </c>
      <c r="C27" s="15">
        <v>329.93</v>
      </c>
    </row>
    <row r="28" spans="1:3" x14ac:dyDescent="0.25">
      <c r="A28" s="17">
        <v>45815</v>
      </c>
      <c r="B28" s="14">
        <v>6</v>
      </c>
      <c r="C28" s="15">
        <v>362.37</v>
      </c>
    </row>
    <row r="29" spans="1:3" x14ac:dyDescent="0.25">
      <c r="A29" s="17">
        <v>45816</v>
      </c>
      <c r="B29" s="14">
        <v>6</v>
      </c>
      <c r="C29" s="15">
        <v>400.43</v>
      </c>
    </row>
    <row r="30" spans="1:3" x14ac:dyDescent="0.25">
      <c r="A30" s="17">
        <v>45817</v>
      </c>
      <c r="B30" s="14">
        <v>6</v>
      </c>
      <c r="C30" s="15">
        <v>141.69</v>
      </c>
    </row>
    <row r="31" spans="1:3" x14ac:dyDescent="0.25">
      <c r="A31" s="17">
        <v>45818</v>
      </c>
      <c r="B31" s="14">
        <v>6</v>
      </c>
      <c r="C31" s="15">
        <v>400.62</v>
      </c>
    </row>
    <row r="32" spans="1:3" x14ac:dyDescent="0.25">
      <c r="A32" s="17">
        <v>45819</v>
      </c>
      <c r="B32" s="14">
        <v>4</v>
      </c>
      <c r="C32" s="15">
        <v>447.03</v>
      </c>
    </row>
    <row r="33" spans="1:3" x14ac:dyDescent="0.25">
      <c r="A33" s="17">
        <v>45820</v>
      </c>
      <c r="B33" s="14">
        <v>5</v>
      </c>
      <c r="C33" s="15">
        <v>458.2</v>
      </c>
    </row>
    <row r="34" spans="1:3" x14ac:dyDescent="0.25">
      <c r="A34" s="17">
        <v>45821</v>
      </c>
      <c r="B34" s="14">
        <v>5</v>
      </c>
      <c r="C34" s="15">
        <v>385.51</v>
      </c>
    </row>
    <row r="35" spans="1:3" x14ac:dyDescent="0.25">
      <c r="A35" s="17">
        <v>45822</v>
      </c>
      <c r="B35" s="14">
        <v>5</v>
      </c>
      <c r="C35" s="15">
        <v>420.17</v>
      </c>
    </row>
    <row r="36" spans="1:3" x14ac:dyDescent="0.25">
      <c r="A36" s="17">
        <v>45823</v>
      </c>
      <c r="B36" s="14">
        <v>5</v>
      </c>
      <c r="C36" s="15">
        <v>423.44</v>
      </c>
    </row>
    <row r="37" spans="1:3" x14ac:dyDescent="0.25">
      <c r="A37" s="17">
        <v>45824</v>
      </c>
      <c r="B37" s="14">
        <v>5</v>
      </c>
      <c r="C37" s="15">
        <v>457.39</v>
      </c>
    </row>
    <row r="38" spans="1:3" x14ac:dyDescent="0.25">
      <c r="A38" s="17">
        <v>45825</v>
      </c>
      <c r="B38" s="14">
        <v>5</v>
      </c>
      <c r="C38" s="15">
        <v>395.42</v>
      </c>
    </row>
    <row r="39" spans="1:3" x14ac:dyDescent="0.25">
      <c r="A39" s="17">
        <v>45826</v>
      </c>
      <c r="B39" s="14">
        <v>5</v>
      </c>
      <c r="C39" s="15">
        <v>479.58</v>
      </c>
    </row>
    <row r="40" spans="1:3" x14ac:dyDescent="0.25">
      <c r="A40" s="17">
        <v>45827</v>
      </c>
      <c r="B40" s="14">
        <v>5</v>
      </c>
      <c r="C40" s="15">
        <v>470.09</v>
      </c>
    </row>
    <row r="41" spans="1:3" x14ac:dyDescent="0.25">
      <c r="A41" s="17">
        <v>45828</v>
      </c>
      <c r="B41" s="14">
        <v>5</v>
      </c>
      <c r="C41" s="15">
        <v>419.57</v>
      </c>
    </row>
    <row r="42" spans="1:3" x14ac:dyDescent="0.25">
      <c r="A42" s="17">
        <v>45829</v>
      </c>
      <c r="B42" s="14">
        <v>4</v>
      </c>
      <c r="C42" s="15">
        <v>445.51</v>
      </c>
    </row>
    <row r="43" spans="1:3" x14ac:dyDescent="0.25">
      <c r="A43" s="17">
        <v>45830</v>
      </c>
      <c r="B43" s="14">
        <v>4</v>
      </c>
      <c r="C43" s="15">
        <v>477.1</v>
      </c>
    </row>
    <row r="44" spans="1:3" x14ac:dyDescent="0.25">
      <c r="A44" s="17">
        <v>45831</v>
      </c>
      <c r="B44" s="14">
        <v>5</v>
      </c>
      <c r="C44" s="15">
        <v>412.1</v>
      </c>
    </row>
    <row r="45" spans="1:3" x14ac:dyDescent="0.25">
      <c r="A45" s="17">
        <v>45832</v>
      </c>
      <c r="B45" s="14">
        <v>4</v>
      </c>
      <c r="C45" s="15">
        <v>571.29999999999995</v>
      </c>
    </row>
    <row r="46" spans="1:3" x14ac:dyDescent="0.25">
      <c r="A46" s="17">
        <v>45833</v>
      </c>
      <c r="B46" s="14">
        <v>4</v>
      </c>
      <c r="C46" s="15">
        <v>512.24</v>
      </c>
    </row>
    <row r="47" spans="1:3" x14ac:dyDescent="0.25">
      <c r="A47" s="17">
        <v>45834</v>
      </c>
      <c r="B47" s="14">
        <v>4</v>
      </c>
      <c r="C47" s="15">
        <v>565.23</v>
      </c>
    </row>
    <row r="48" spans="1:3" x14ac:dyDescent="0.25">
      <c r="A48" s="17">
        <v>45835</v>
      </c>
      <c r="B48" s="14">
        <v>4</v>
      </c>
      <c r="C48" s="15">
        <v>636.04999999999995</v>
      </c>
    </row>
    <row r="49" spans="1:3" x14ac:dyDescent="0.25">
      <c r="A49" s="17">
        <v>45836</v>
      </c>
      <c r="B49" s="14">
        <v>5</v>
      </c>
      <c r="C49" s="15">
        <v>587.15</v>
      </c>
    </row>
    <row r="50" spans="1:3" x14ac:dyDescent="0.25">
      <c r="A50" s="17">
        <v>45837</v>
      </c>
      <c r="B50" s="14">
        <v>5</v>
      </c>
      <c r="C50" s="15">
        <v>582.02</v>
      </c>
    </row>
    <row r="51" spans="1:3" x14ac:dyDescent="0.25">
      <c r="A51" s="17">
        <v>45838</v>
      </c>
      <c r="B51" s="14">
        <v>5</v>
      </c>
      <c r="C51" s="15">
        <v>445.66</v>
      </c>
    </row>
    <row r="52" spans="1:3" x14ac:dyDescent="0.25">
      <c r="A52" s="17">
        <v>45839</v>
      </c>
      <c r="B52" s="14">
        <v>5</v>
      </c>
      <c r="C52" s="15">
        <v>560.03</v>
      </c>
    </row>
    <row r="53" spans="1:3" x14ac:dyDescent="0.25">
      <c r="A53" s="17">
        <v>45840</v>
      </c>
      <c r="B53" s="14">
        <v>5</v>
      </c>
      <c r="C53" s="15">
        <v>644.54</v>
      </c>
    </row>
    <row r="54" spans="1:3" x14ac:dyDescent="0.25">
      <c r="A54" s="17">
        <v>45841</v>
      </c>
      <c r="B54" s="14">
        <v>5</v>
      </c>
      <c r="C54" s="15">
        <v>591.34</v>
      </c>
    </row>
    <row r="55" spans="1:3" x14ac:dyDescent="0.25">
      <c r="A55" s="17">
        <v>45842</v>
      </c>
      <c r="B55" s="14">
        <v>5</v>
      </c>
      <c r="C55" s="15">
        <v>548.92999999999995</v>
      </c>
    </row>
    <row r="56" spans="1:3" x14ac:dyDescent="0.25">
      <c r="A56" s="17">
        <v>45843</v>
      </c>
      <c r="B56" s="14">
        <v>5</v>
      </c>
      <c r="C56" s="15">
        <v>711.96</v>
      </c>
    </row>
    <row r="57" spans="1:3" x14ac:dyDescent="0.25">
      <c r="A57" s="17">
        <v>45844</v>
      </c>
      <c r="B57" s="14">
        <v>4</v>
      </c>
      <c r="C57" s="15">
        <v>847.54</v>
      </c>
    </row>
    <row r="58" spans="1:3" x14ac:dyDescent="0.25">
      <c r="A58" s="17">
        <v>45845</v>
      </c>
      <c r="B58" s="14">
        <v>4</v>
      </c>
      <c r="C58" s="15">
        <v>807.81</v>
      </c>
    </row>
    <row r="59" spans="1:3" x14ac:dyDescent="0.25">
      <c r="A59" s="17">
        <v>45846</v>
      </c>
      <c r="B59" s="14">
        <v>4</v>
      </c>
      <c r="C59" s="15">
        <v>1176.46</v>
      </c>
    </row>
    <row r="60" spans="1:3" x14ac:dyDescent="0.25">
      <c r="A60" s="17">
        <v>45847</v>
      </c>
      <c r="B60" s="14">
        <v>4</v>
      </c>
      <c r="C60" s="15">
        <v>867.44</v>
      </c>
    </row>
    <row r="61" spans="1:3" x14ac:dyDescent="0.25">
      <c r="A61" s="17">
        <v>45848</v>
      </c>
      <c r="B61" s="14">
        <v>6</v>
      </c>
      <c r="C61" s="15">
        <v>814.33</v>
      </c>
    </row>
    <row r="62" spans="1:3" x14ac:dyDescent="0.25">
      <c r="A62" s="17">
        <v>45849</v>
      </c>
      <c r="B62" s="14">
        <v>6</v>
      </c>
      <c r="C62" s="15">
        <v>832.75</v>
      </c>
    </row>
    <row r="63" spans="1:3" x14ac:dyDescent="0.25">
      <c r="A63" s="17">
        <v>45850</v>
      </c>
      <c r="B63" s="14">
        <v>5</v>
      </c>
      <c r="C63" s="15">
        <v>731.8</v>
      </c>
    </row>
    <row r="64" spans="1:3" x14ac:dyDescent="0.25">
      <c r="A64" s="17">
        <v>45851</v>
      </c>
      <c r="B64" s="14">
        <v>5</v>
      </c>
      <c r="C64" s="15">
        <v>827.04</v>
      </c>
    </row>
    <row r="65" spans="1:3" x14ac:dyDescent="0.25">
      <c r="A65" s="17">
        <v>45852</v>
      </c>
      <c r="B65" s="14">
        <v>6</v>
      </c>
      <c r="C65" s="15">
        <v>754.98</v>
      </c>
    </row>
    <row r="66" spans="1:3" x14ac:dyDescent="0.25">
      <c r="A66" s="17">
        <v>45853</v>
      </c>
      <c r="B66" s="14">
        <v>6</v>
      </c>
      <c r="C66" s="15">
        <v>703.62</v>
      </c>
    </row>
    <row r="67" spans="1:3" x14ac:dyDescent="0.25">
      <c r="A67" s="17">
        <v>45854</v>
      </c>
      <c r="B67" s="14">
        <v>6</v>
      </c>
      <c r="C67" s="15">
        <v>800.93</v>
      </c>
    </row>
    <row r="68" spans="1:3" x14ac:dyDescent="0.25">
      <c r="A68" s="17">
        <v>45855</v>
      </c>
      <c r="B68" s="14">
        <v>6</v>
      </c>
      <c r="C68" s="15">
        <v>650.54</v>
      </c>
    </row>
    <row r="69" spans="1:3" x14ac:dyDescent="0.25">
      <c r="A69" s="17">
        <v>45856</v>
      </c>
      <c r="B69" s="14">
        <v>6</v>
      </c>
      <c r="C69" s="15">
        <v>642.91999999999996</v>
      </c>
    </row>
    <row r="70" spans="1:3" x14ac:dyDescent="0.25">
      <c r="A70" s="17">
        <v>45857</v>
      </c>
      <c r="B70" s="14">
        <v>6</v>
      </c>
      <c r="C70" s="15">
        <v>506.53</v>
      </c>
    </row>
    <row r="71" spans="1:3" x14ac:dyDescent="0.25">
      <c r="A71" s="17">
        <v>45858</v>
      </c>
      <c r="B71" s="14">
        <v>6</v>
      </c>
      <c r="C71" s="15">
        <v>614.95000000000005</v>
      </c>
    </row>
    <row r="72" spans="1:3" x14ac:dyDescent="0.25">
      <c r="A72" s="17">
        <v>45859</v>
      </c>
      <c r="B72" s="14">
        <v>6</v>
      </c>
      <c r="C72" s="15">
        <v>504.36</v>
      </c>
    </row>
    <row r="73" spans="1:3" x14ac:dyDescent="0.25">
      <c r="A73" s="17">
        <v>45860</v>
      </c>
      <c r="B73" s="14">
        <v>6</v>
      </c>
      <c r="C73" s="15">
        <v>509.06</v>
      </c>
    </row>
    <row r="74" spans="1:3" x14ac:dyDescent="0.25">
      <c r="A74" s="17">
        <v>45861</v>
      </c>
      <c r="B74" s="14">
        <v>6</v>
      </c>
      <c r="C74" s="15">
        <v>416.95</v>
      </c>
    </row>
    <row r="75" spans="1:3" x14ac:dyDescent="0.25">
      <c r="A75" s="17">
        <v>45862</v>
      </c>
      <c r="B75" s="14">
        <v>6</v>
      </c>
      <c r="C75" s="15">
        <v>412.13</v>
      </c>
    </row>
    <row r="76" spans="1:3" x14ac:dyDescent="0.25">
      <c r="A76" s="17">
        <v>45863</v>
      </c>
      <c r="B76" s="14">
        <v>6</v>
      </c>
      <c r="C76" s="15">
        <v>364.58</v>
      </c>
    </row>
    <row r="77" spans="1:3" x14ac:dyDescent="0.25">
      <c r="A77" s="17">
        <v>45864</v>
      </c>
      <c r="B77" s="14">
        <v>6</v>
      </c>
      <c r="C77" s="15">
        <v>367.78</v>
      </c>
    </row>
    <row r="78" spans="1:3" x14ac:dyDescent="0.25">
      <c r="A78" s="17">
        <v>45865</v>
      </c>
      <c r="B78" s="14">
        <v>6</v>
      </c>
      <c r="C78" s="15">
        <v>425.9</v>
      </c>
    </row>
    <row r="79" spans="1:3" x14ac:dyDescent="0.25">
      <c r="A79" s="17">
        <v>45866</v>
      </c>
      <c r="B79" s="14">
        <v>6</v>
      </c>
      <c r="C79" s="15">
        <v>452.63</v>
      </c>
    </row>
    <row r="80" spans="1:3" x14ac:dyDescent="0.25">
      <c r="A80" s="17">
        <v>45867</v>
      </c>
      <c r="B80" s="14">
        <v>6</v>
      </c>
      <c r="C80" s="15">
        <v>426.18</v>
      </c>
    </row>
    <row r="81" spans="1:3" x14ac:dyDescent="0.25">
      <c r="A81" s="17">
        <v>45868</v>
      </c>
      <c r="B81" s="14">
        <v>6</v>
      </c>
      <c r="C81" s="15">
        <v>409.69</v>
      </c>
    </row>
    <row r="82" spans="1:3" x14ac:dyDescent="0.25">
      <c r="A82" s="17">
        <v>45869</v>
      </c>
      <c r="B82" s="14">
        <v>6</v>
      </c>
      <c r="C82" s="15">
        <v>387.15</v>
      </c>
    </row>
    <row r="83" spans="1:3" x14ac:dyDescent="0.25">
      <c r="A83" s="17">
        <v>45870</v>
      </c>
      <c r="B83" s="14">
        <v>6</v>
      </c>
      <c r="C83" s="15">
        <v>485.13</v>
      </c>
    </row>
    <row r="84" spans="1:3" x14ac:dyDescent="0.25">
      <c r="A84" s="17">
        <v>45871</v>
      </c>
      <c r="B84" s="14">
        <v>6</v>
      </c>
      <c r="C84" s="15">
        <v>505.18</v>
      </c>
    </row>
    <row r="85" spans="1:3" x14ac:dyDescent="0.25">
      <c r="A85" s="17">
        <v>45872</v>
      </c>
      <c r="B85" s="14">
        <v>6</v>
      </c>
      <c r="C85" s="15">
        <v>614.16</v>
      </c>
    </row>
    <row r="86" spans="1:3" x14ac:dyDescent="0.25">
      <c r="A86" s="17">
        <v>45873</v>
      </c>
      <c r="B86" s="14">
        <v>6</v>
      </c>
      <c r="C86" s="15">
        <v>644.67999999999995</v>
      </c>
    </row>
    <row r="87" spans="1:3" x14ac:dyDescent="0.25">
      <c r="A87" s="17">
        <v>45874</v>
      </c>
      <c r="B87" s="14">
        <v>5</v>
      </c>
      <c r="C87" s="15">
        <v>590.14</v>
      </c>
    </row>
    <row r="88" spans="1:3" x14ac:dyDescent="0.25">
      <c r="A88" s="17">
        <v>45875</v>
      </c>
      <c r="B88" s="14">
        <v>6</v>
      </c>
      <c r="C88" s="15">
        <v>592.35</v>
      </c>
    </row>
    <row r="89" spans="1:3" x14ac:dyDescent="0.25">
      <c r="A89" s="17">
        <v>45876</v>
      </c>
      <c r="B89" s="14">
        <v>5</v>
      </c>
      <c r="C89" s="15">
        <v>571.29999999999995</v>
      </c>
    </row>
    <row r="90" spans="1:3" x14ac:dyDescent="0.25">
      <c r="A90" s="17">
        <v>45877</v>
      </c>
      <c r="B90" s="14">
        <v>5</v>
      </c>
      <c r="C90" s="15">
        <v>512.24</v>
      </c>
    </row>
    <row r="91" spans="1:3" x14ac:dyDescent="0.25">
      <c r="A91" s="17">
        <v>45878</v>
      </c>
      <c r="B91" s="14">
        <v>5</v>
      </c>
      <c r="C91" s="15">
        <v>565.23</v>
      </c>
    </row>
    <row r="92" spans="1:3" x14ac:dyDescent="0.25">
      <c r="A92" s="17">
        <v>45879</v>
      </c>
      <c r="B92" s="14">
        <v>3</v>
      </c>
      <c r="C92" s="15">
        <v>636.04999999999995</v>
      </c>
    </row>
    <row r="93" spans="1:3" x14ac:dyDescent="0.25">
      <c r="A93" s="17">
        <v>45880</v>
      </c>
      <c r="B93" s="14">
        <v>3</v>
      </c>
      <c r="C93" s="15">
        <v>587.15</v>
      </c>
    </row>
    <row r="94" spans="1:3" x14ac:dyDescent="0.25">
      <c r="A94" s="17">
        <v>45881</v>
      </c>
      <c r="B94" s="14">
        <v>3</v>
      </c>
      <c r="C94" s="15">
        <v>582.02</v>
      </c>
    </row>
    <row r="95" spans="1:3" x14ac:dyDescent="0.25">
      <c r="A95" s="17">
        <v>45882</v>
      </c>
      <c r="B95" s="14">
        <v>3</v>
      </c>
      <c r="C95" s="15">
        <v>610.96</v>
      </c>
    </row>
    <row r="96" spans="1:3" x14ac:dyDescent="0.25">
      <c r="A96" s="17">
        <v>45883</v>
      </c>
      <c r="B96" s="14">
        <v>3</v>
      </c>
      <c r="C96" s="15">
        <v>651.58000000000004</v>
      </c>
    </row>
    <row r="97" spans="1:3" x14ac:dyDescent="0.25">
      <c r="A97" s="17">
        <v>45884</v>
      </c>
      <c r="B97" s="14">
        <v>3</v>
      </c>
      <c r="C97" s="15">
        <v>614.98</v>
      </c>
    </row>
    <row r="98" spans="1:3" x14ac:dyDescent="0.25">
      <c r="A98" s="17">
        <v>45885</v>
      </c>
      <c r="B98" s="14">
        <v>3</v>
      </c>
      <c r="C98" s="15">
        <v>627.88</v>
      </c>
    </row>
    <row r="99" spans="1:3" x14ac:dyDescent="0.25">
      <c r="A99" s="17">
        <v>45886</v>
      </c>
      <c r="B99" s="14">
        <v>3</v>
      </c>
      <c r="C99" s="15">
        <v>231.8</v>
      </c>
    </row>
    <row r="100" spans="1:3" x14ac:dyDescent="0.25">
      <c r="A100" s="17">
        <v>45887</v>
      </c>
      <c r="B100" s="14">
        <v>3</v>
      </c>
      <c r="C100" s="15">
        <v>521.98</v>
      </c>
    </row>
    <row r="101" spans="1:3" x14ac:dyDescent="0.25">
      <c r="A101" s="17">
        <v>45888</v>
      </c>
      <c r="B101" s="14">
        <v>3</v>
      </c>
      <c r="C101" s="15">
        <v>543.15</v>
      </c>
    </row>
    <row r="102" spans="1:3" x14ac:dyDescent="0.25">
      <c r="A102" s="17">
        <v>45889</v>
      </c>
      <c r="B102" s="14">
        <v>3</v>
      </c>
      <c r="C102" s="15">
        <v>512.24</v>
      </c>
    </row>
    <row r="103" spans="1:3" x14ac:dyDescent="0.25">
      <c r="A103" s="17">
        <v>45890</v>
      </c>
      <c r="B103" s="14">
        <v>3</v>
      </c>
      <c r="C103" s="15">
        <v>565.23</v>
      </c>
    </row>
    <row r="104" spans="1:3" x14ac:dyDescent="0.25">
      <c r="A104" s="17">
        <v>45891</v>
      </c>
      <c r="B104" s="14">
        <v>3</v>
      </c>
      <c r="C104" s="15">
        <v>636.04999999999995</v>
      </c>
    </row>
    <row r="105" spans="1:3" x14ac:dyDescent="0.25">
      <c r="A105" s="17">
        <v>45892</v>
      </c>
      <c r="B105" s="14">
        <v>3</v>
      </c>
      <c r="C105" s="15">
        <v>587.15</v>
      </c>
    </row>
    <row r="106" spans="1:3" x14ac:dyDescent="0.25">
      <c r="A106" s="17">
        <v>45893</v>
      </c>
      <c r="B106" s="14">
        <v>3</v>
      </c>
      <c r="C106" s="15">
        <v>334.34</v>
      </c>
    </row>
    <row r="107" spans="1:3" x14ac:dyDescent="0.25">
      <c r="A107" s="17">
        <v>45894</v>
      </c>
      <c r="B107" s="14">
        <v>3</v>
      </c>
      <c r="C107" s="15">
        <v>420.35</v>
      </c>
    </row>
    <row r="108" spans="1:3" x14ac:dyDescent="0.25">
      <c r="A108" s="17">
        <v>45895</v>
      </c>
      <c r="B108" s="14">
        <v>3</v>
      </c>
      <c r="C108" s="15">
        <v>395.62</v>
      </c>
    </row>
    <row r="109" spans="1:3" x14ac:dyDescent="0.25">
      <c r="A109" s="17">
        <v>45896</v>
      </c>
      <c r="B109" s="14">
        <v>3</v>
      </c>
      <c r="C109" s="15">
        <v>543.72</v>
      </c>
    </row>
    <row r="110" spans="1:3" x14ac:dyDescent="0.25">
      <c r="A110" s="17">
        <v>45897</v>
      </c>
      <c r="B110" s="14">
        <v>3</v>
      </c>
      <c r="C110" s="15">
        <v>535.54</v>
      </c>
    </row>
    <row r="111" spans="1:3" x14ac:dyDescent="0.25">
      <c r="A111" s="17">
        <v>45898</v>
      </c>
      <c r="B111" s="14">
        <v>3</v>
      </c>
      <c r="C111" s="15">
        <v>434.89</v>
      </c>
    </row>
    <row r="112" spans="1:3" x14ac:dyDescent="0.25">
      <c r="A112" s="17">
        <v>45899</v>
      </c>
      <c r="B112" s="14">
        <v>3</v>
      </c>
      <c r="C112" s="15">
        <v>319.89</v>
      </c>
    </row>
    <row r="113" spans="1:3" x14ac:dyDescent="0.25">
      <c r="A113" s="17">
        <v>45900</v>
      </c>
      <c r="B113" s="14">
        <v>3</v>
      </c>
      <c r="C113" s="15">
        <v>452.34</v>
      </c>
    </row>
    <row r="114" spans="1:3" x14ac:dyDescent="0.25">
      <c r="A114" s="17" t="s">
        <v>24</v>
      </c>
      <c r="B114" s="14">
        <v>443</v>
      </c>
      <c r="C114" s="15">
        <v>48664.630000000019</v>
      </c>
    </row>
  </sheetData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D6D26A-555A-4EBC-A82A-814C5EE1979A}">
          <x14:formula1>
            <xm:f>Monthly!$A$2:$A$29</xm:f>
          </x14:formula1>
          <xm:sqref>A2</xm:sqref>
        </x14:dataValidation>
      </x14:dataValidations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Charts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EBRPL-MIS</cp:lastModifiedBy>
  <cp:revision/>
  <dcterms:created xsi:type="dcterms:W3CDTF">2025-11-06T07:32:50Z</dcterms:created>
  <dcterms:modified xsi:type="dcterms:W3CDTF">2025-12-19T12:06:10Z</dcterms:modified>
  <cp:category/>
  <cp:contentStatus/>
</cp:coreProperties>
</file>